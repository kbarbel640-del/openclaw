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wang/Desktop/ remote/india/1月/"/>
    </mc:Choice>
  </mc:AlternateContent>
  <xr:revisionPtr revIDLastSave="0" documentId="13_ncr:1_{37D76736-81C7-FF45-BA61-6360F9E60658}" xr6:coauthVersionLast="47" xr6:coauthVersionMax="47" xr10:uidLastSave="{00000000-0000-0000-0000-000000000000}"/>
  <bookViews>
    <workbookView xWindow="320" yWindow="740" windowWidth="27640" windowHeight="16760" activeTab="3" xr2:uid="{DFA225E0-4604-6E42-8296-92D3D275678C}"/>
  </bookViews>
  <sheets>
    <sheet name="11月" sheetId="4" r:id="rId1"/>
    <sheet name="12月 (2)" sheetId="3" r:id="rId2"/>
    <sheet name="1月" sheetId="2" r:id="rId3"/>
    <sheet name="合并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5" l="1"/>
  <c r="G39" i="5"/>
  <c r="C39" i="5"/>
  <c r="I39" i="5"/>
  <c r="H39" i="5"/>
  <c r="C40" i="5"/>
  <c r="D39" i="5"/>
  <c r="C45" i="5"/>
  <c r="C49" i="5"/>
  <c r="B48" i="5"/>
  <c r="Q49" i="5"/>
  <c r="R49" i="5"/>
  <c r="T49" i="5"/>
  <c r="Y49" i="5"/>
  <c r="Y50" i="5" s="1"/>
  <c r="Z49" i="5"/>
  <c r="Z50" i="5" s="1"/>
  <c r="AB49" i="5"/>
  <c r="D49" i="5"/>
  <c r="E49" i="5"/>
  <c r="F49" i="5"/>
  <c r="G49" i="5"/>
  <c r="I49" i="5"/>
  <c r="L49" i="5"/>
  <c r="M45" i="5"/>
  <c r="M49" i="5" s="1"/>
  <c r="M50" i="5" s="1"/>
  <c r="N45" i="5"/>
  <c r="N49" i="5" s="1"/>
  <c r="N50" i="5" s="1"/>
  <c r="O45" i="5"/>
  <c r="O49" i="5" s="1"/>
  <c r="O50" i="5" s="1"/>
  <c r="P45" i="5"/>
  <c r="P49" i="5" s="1"/>
  <c r="Q45" i="5"/>
  <c r="R45" i="5"/>
  <c r="S45" i="5"/>
  <c r="S49" i="5" s="1"/>
  <c r="T45" i="5"/>
  <c r="U45" i="5"/>
  <c r="U49" i="5" s="1"/>
  <c r="U50" i="5" s="1"/>
  <c r="V45" i="5"/>
  <c r="V49" i="5" s="1"/>
  <c r="V50" i="5" s="1"/>
  <c r="W45" i="5"/>
  <c r="W49" i="5" s="1"/>
  <c r="W50" i="5" s="1"/>
  <c r="X45" i="5"/>
  <c r="X49" i="5" s="1"/>
  <c r="Y45" i="5"/>
  <c r="Z45" i="5"/>
  <c r="AA45" i="5"/>
  <c r="AA49" i="5" s="1"/>
  <c r="AB45" i="5"/>
  <c r="AC45" i="5"/>
  <c r="AC49" i="5" s="1"/>
  <c r="AC50" i="5" s="1"/>
  <c r="AD45" i="5"/>
  <c r="AD49" i="5" s="1"/>
  <c r="AD50" i="5" s="1"/>
  <c r="AE45" i="5"/>
  <c r="AF45" i="5"/>
  <c r="AG45" i="5"/>
  <c r="D45" i="5"/>
  <c r="E45" i="5"/>
  <c r="F45" i="5"/>
  <c r="G45" i="5"/>
  <c r="H45" i="5"/>
  <c r="H49" i="5" s="1"/>
  <c r="H50" i="5" s="1"/>
  <c r="I45" i="5"/>
  <c r="J45" i="5"/>
  <c r="J49" i="5" s="1"/>
  <c r="K45" i="5"/>
  <c r="K49" i="5" s="1"/>
  <c r="L45" i="5"/>
  <c r="B3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C10" i="5"/>
  <c r="B28" i="5"/>
  <c r="B29" i="5"/>
  <c r="B31" i="5"/>
  <c r="B32" i="5"/>
  <c r="B33" i="5"/>
  <c r="B34" i="5"/>
  <c r="B27" i="5"/>
  <c r="B15" i="5"/>
  <c r="B22" i="5"/>
  <c r="B21" i="5"/>
  <c r="B20" i="5"/>
  <c r="B19" i="5"/>
  <c r="B18" i="5"/>
  <c r="B17" i="5"/>
  <c r="B16" i="5"/>
  <c r="B3" i="5"/>
  <c r="B4" i="5"/>
  <c r="B5" i="5"/>
  <c r="B6" i="5"/>
  <c r="B7" i="5"/>
  <c r="B8" i="5"/>
  <c r="B9" i="5"/>
  <c r="B2" i="5"/>
  <c r="AF33" i="3"/>
  <c r="G33" i="3"/>
  <c r="F33" i="3"/>
  <c r="E33" i="3"/>
  <c r="B33" i="3"/>
  <c r="P33" i="2"/>
  <c r="O33" i="2"/>
  <c r="K33" i="2"/>
  <c r="G33" i="2"/>
  <c r="E33" i="2"/>
  <c r="B33" i="2"/>
  <c r="AA50" i="5" l="1"/>
  <c r="G50" i="5"/>
  <c r="D50" i="5"/>
  <c r="L50" i="5"/>
  <c r="T50" i="5"/>
  <c r="AB50" i="5"/>
  <c r="F50" i="5"/>
  <c r="S50" i="5"/>
  <c r="R50" i="5"/>
  <c r="K50" i="5"/>
  <c r="Q50" i="5"/>
  <c r="I50" i="5"/>
  <c r="J50" i="5"/>
  <c r="X50" i="5"/>
  <c r="P50" i="5"/>
  <c r="E50" i="5"/>
  <c r="B10" i="5"/>
  <c r="C50" i="5" l="1"/>
  <c r="B50" i="5" s="1"/>
  <c r="B49" i="5"/>
</calcChain>
</file>

<file path=xl/sharedStrings.xml><?xml version="1.0" encoding="utf-8"?>
<sst xmlns="http://schemas.openxmlformats.org/spreadsheetml/2006/main" count="497" uniqueCount="241">
  <si>
    <t>日期</t>
  </si>
  <si>
    <t>注册人数</t>
  </si>
  <si>
    <t>注册人数(轮盘)</t>
  </si>
  <si>
    <t>注册人数(拉新轮盘)</t>
  </si>
  <si>
    <t>活跃人数</t>
  </si>
  <si>
    <t>ip人数</t>
  </si>
  <si>
    <t>充值</t>
  </si>
  <si>
    <t>充值(轮盘)</t>
  </si>
  <si>
    <t>充值(拉新轮盘)</t>
  </si>
  <si>
    <t>提现</t>
  </si>
  <si>
    <t>充提差</t>
  </si>
  <si>
    <t>总余额</t>
  </si>
  <si>
    <t>总投注</t>
  </si>
  <si>
    <t>总优惠</t>
  </si>
  <si>
    <t>首充人数</t>
  </si>
  <si>
    <t>充值人数</t>
  </si>
  <si>
    <t>充值人数(轮盘)</t>
  </si>
  <si>
    <t>充值人数(拉新轮盘)</t>
  </si>
  <si>
    <t>彩票总投注</t>
  </si>
  <si>
    <t>彩票有效投注</t>
  </si>
  <si>
    <t>彩票手续费</t>
  </si>
  <si>
    <t>派彩</t>
  </si>
  <si>
    <t>盈亏</t>
  </si>
  <si>
    <t>三方有效投注</t>
  </si>
  <si>
    <t>三方派彩</t>
  </si>
  <si>
    <t>三方盈亏</t>
  </si>
  <si>
    <t>首充赠送</t>
  </si>
  <si>
    <t>二充赠送</t>
  </si>
  <si>
    <t>三充赠送</t>
  </si>
  <si>
    <t>保险箱收益</t>
  </si>
  <si>
    <t>每日签到</t>
  </si>
  <si>
    <t>洗码返水</t>
  </si>
  <si>
    <t>代理返佣</t>
  </si>
  <si>
    <t>代理工资</t>
  </si>
  <si>
    <t>代理工资扣除</t>
  </si>
  <si>
    <t>测试游戏</t>
  </si>
  <si>
    <t>人工充值</t>
  </si>
  <si>
    <t>人工提款</t>
  </si>
  <si>
    <t>赠送彩金</t>
  </si>
  <si>
    <t>彩金扣除</t>
  </si>
  <si>
    <t>出款失败退回账户</t>
  </si>
  <si>
    <t>宝箱赠送</t>
  </si>
  <si>
    <t>爆大奖赠送</t>
  </si>
  <si>
    <t>周俸禄奖励</t>
  </si>
  <si>
    <t>VIP每月奖励</t>
  </si>
  <si>
    <t>VIP彩金充值奖励</t>
  </si>
  <si>
    <t>VIP升级礼包</t>
  </si>
  <si>
    <t>礼包码</t>
  </si>
  <si>
    <t>注册奖励</t>
  </si>
  <si>
    <t>rupeeLink出款奖励</t>
  </si>
  <si>
    <t>每日首充奖励</t>
  </si>
  <si>
    <t>日任务奖励</t>
  </si>
  <si>
    <t>周任务奖励</t>
  </si>
  <si>
    <t>裂变轮盘奖金</t>
  </si>
  <si>
    <t>裂变轮盘签到奖励</t>
  </si>
  <si>
    <t>裂变轮盘首次邀请</t>
  </si>
  <si>
    <t>维护彩金</t>
  </si>
  <si>
    <t>日援助奖励</t>
  </si>
  <si>
    <t>周援助奖励</t>
  </si>
  <si>
    <t>pwa奖励</t>
  </si>
  <si>
    <t>幸运充值轮盘奖励</t>
  </si>
  <si>
    <t>wingo1分连赢</t>
  </si>
  <si>
    <t>观看视频奖励</t>
  </si>
  <si>
    <t>新累充奖励</t>
  </si>
  <si>
    <t>周卡奖励</t>
  </si>
  <si>
    <t>局数奖励</t>
  </si>
  <si>
    <t>飞艇奖励</t>
  </si>
  <si>
    <t>神秘礼盒</t>
  </si>
  <si>
    <t>触发充值奖励</t>
  </si>
  <si>
    <t>返水活动奖励</t>
  </si>
  <si>
    <t>充值卡赠送</t>
  </si>
  <si>
    <t>首充返利</t>
  </si>
  <si>
    <t>邀请人奖励</t>
  </si>
  <si>
    <t>被邀请人奖励</t>
  </si>
  <si>
    <t>投注抽奖</t>
  </si>
  <si>
    <t>vip充值彩金</t>
  </si>
  <si>
    <t>召回彩金</t>
  </si>
  <si>
    <t>游戏日任务奖励</t>
  </si>
  <si>
    <t>日榜奖励</t>
  </si>
  <si>
    <t>周榜奖励</t>
  </si>
  <si>
    <t>月榜奖励</t>
  </si>
  <si>
    <t>一元购兑换金额</t>
  </si>
  <si>
    <t>bgcash首充奖励</t>
  </si>
  <si>
    <t>飞艇注册活动奖励</t>
  </si>
  <si>
    <t>新手普通奖励</t>
  </si>
  <si>
    <t>新手超级奖励</t>
  </si>
  <si>
    <t>周任务邀请送奖励</t>
  </si>
  <si>
    <t>红包雨活动奖励</t>
  </si>
  <si>
    <t>会员日首充奖励</t>
  </si>
  <si>
    <t>会员日累充奖励</t>
  </si>
  <si>
    <t>首充人数(轮盘)</t>
  </si>
  <si>
    <t>首充人数(拉新轮盘)</t>
  </si>
  <si>
    <t>首充金额</t>
  </si>
  <si>
    <t>首充金额（轮盘）</t>
  </si>
  <si>
    <t>首充金额(拉新轮盘)</t>
  </si>
  <si>
    <t>拉新轮盘奖励</t>
  </si>
  <si>
    <t>二充人数</t>
  </si>
  <si>
    <t>二充金额</t>
  </si>
  <si>
    <t>三充人数</t>
  </si>
  <si>
    <t>三充金额</t>
  </si>
  <si>
    <t>累充金额奖励</t>
  </si>
  <si>
    <t>累充次数奖励</t>
  </si>
  <si>
    <t>充值赠送</t>
  </si>
  <si>
    <t>充值彩金</t>
  </si>
  <si>
    <t>充值USDT</t>
  </si>
  <si>
    <t>提现USDT</t>
  </si>
  <si>
    <t xml:space="preserve">	-259691.00</t>
  </si>
  <si>
    <t xml:space="preserve">	-1192159.76</t>
  </si>
  <si>
    <t>Unnamed: 0</t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</si>
  <si>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</si>
  <si>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</si>
  <si>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3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</si>
  <si>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4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</si>
  <si>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5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</si>
  <si>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6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</si>
  <si>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7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</si>
  <si>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8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</si>
  <si>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9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</si>
  <si>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10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</si>
  <si>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11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</si>
  <si>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12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</si>
  <si>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13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</si>
  <si>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14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</si>
  <si>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15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</si>
  <si>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16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</si>
  <si>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17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</si>
  <si>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18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</si>
  <si>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19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</si>
  <si>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20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</si>
  <si>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21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</si>
  <si>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22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</si>
  <si>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23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</si>
  <si>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24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</si>
  <si>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25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</si>
  <si>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26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</si>
  <si>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27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</si>
  <si>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28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</si>
  <si>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29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</si>
  <si>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30</t>
    </r>
  </si>
  <si>
    <r>
      <t>1</t>
    </r>
    <r>
      <rPr>
        <b/>
        <sz val="10"/>
        <color rgb="FF000000"/>
        <rFont val="PingFang SC"/>
        <family val="2"/>
        <charset val="134"/>
      </rPr>
      <t>月</t>
    </r>
    <r>
      <rPr>
        <b/>
        <sz val="10"/>
        <color rgb="FF000000"/>
        <rFont val="Helvetica Neue"/>
        <family val="2"/>
      </rPr>
      <t>31</t>
    </r>
  </si>
  <si>
    <r>
      <t>ip</t>
    </r>
    <r>
      <rPr>
        <b/>
        <sz val="10"/>
        <color rgb="FF000000"/>
        <rFont val="PingFang SC"/>
        <family val="2"/>
        <charset val="134"/>
      </rPr>
      <t>人数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</si>
  <si>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</si>
  <si>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</si>
  <si>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</si>
  <si>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4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</si>
  <si>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5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</si>
  <si>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6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</si>
  <si>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7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</si>
  <si>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8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</si>
  <si>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9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</si>
  <si>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10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</si>
  <si>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11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</si>
  <si>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12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</si>
  <si>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13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</si>
  <si>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14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</si>
  <si>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15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</si>
  <si>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16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</si>
  <si>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17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</si>
  <si>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18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</si>
  <si>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19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</si>
  <si>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20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</si>
  <si>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21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</si>
  <si>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22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</si>
  <si>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23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</si>
  <si>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24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</si>
  <si>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25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</si>
  <si>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26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</si>
  <si>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27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</si>
  <si>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28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</si>
  <si>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29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</si>
  <si>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30</t>
    </r>
  </si>
  <si>
    <r>
      <t>11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31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</si>
  <si>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</si>
  <si>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</si>
  <si>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</si>
  <si>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4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</si>
  <si>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5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</si>
  <si>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6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</si>
  <si>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7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</si>
  <si>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8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</si>
  <si>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9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</si>
  <si>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10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</si>
  <si>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11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</si>
  <si>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12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</si>
  <si>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13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</si>
  <si>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14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</si>
  <si>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15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</si>
  <si>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16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</si>
  <si>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17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</si>
  <si>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18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</si>
  <si>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19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</si>
  <si>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20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</si>
  <si>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21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</si>
  <si>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22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</si>
  <si>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23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</si>
  <si>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24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</si>
  <si>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25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</si>
  <si>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26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</si>
  <si>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27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</si>
  <si>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28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</si>
  <si>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29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</si>
  <si>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30</t>
    </r>
  </si>
  <si>
    <r>
      <t>12</t>
    </r>
    <r>
      <rPr>
        <sz val="10"/>
        <color rgb="FF000000"/>
        <rFont val="PingFang SC"/>
        <family val="2"/>
        <charset val="134"/>
      </rPr>
      <t>月</t>
    </r>
    <r>
      <rPr>
        <sz val="10"/>
        <color rgb="FF000000"/>
        <rFont val="Helvetica Neue"/>
        <family val="2"/>
      </rPr>
      <t>31</t>
    </r>
  </si>
  <si>
    <t>日均</t>
  </si>
  <si>
    <t>人均充值</t>
  </si>
  <si>
    <t>2月日均-对标-12月</t>
  </si>
  <si>
    <t>2月日均-对标-11月</t>
  </si>
  <si>
    <t>2月日均-对标12月&amp;11月</t>
  </si>
  <si>
    <t>成功率-2月预判会更低-审计月</t>
  </si>
  <si>
    <t>业务节奏</t>
  </si>
  <si>
    <t>2月1</t>
  </si>
  <si>
    <t>2月2</t>
  </si>
  <si>
    <t>2月3</t>
  </si>
  <si>
    <t>2月4</t>
  </si>
  <si>
    <t>2月5</t>
  </si>
  <si>
    <t>2月6</t>
  </si>
  <si>
    <t>2月7</t>
  </si>
  <si>
    <t>2月8</t>
  </si>
  <si>
    <t>2月9</t>
  </si>
  <si>
    <t>2月10</t>
  </si>
  <si>
    <t>2月11</t>
  </si>
  <si>
    <t>2月12</t>
  </si>
  <si>
    <t>2月13</t>
  </si>
  <si>
    <t>2月14</t>
  </si>
  <si>
    <t>2月15</t>
  </si>
  <si>
    <t>2月16</t>
  </si>
  <si>
    <t>2月17</t>
  </si>
  <si>
    <t>2月18</t>
  </si>
  <si>
    <t>2月19</t>
  </si>
  <si>
    <t>2月20</t>
  </si>
  <si>
    <t>2月21</t>
  </si>
  <si>
    <t>2月22</t>
  </si>
  <si>
    <t>2月23</t>
  </si>
  <si>
    <t>2月24</t>
  </si>
  <si>
    <t>2月25</t>
  </si>
  <si>
    <t>2月26</t>
  </si>
  <si>
    <t>2月27</t>
  </si>
  <si>
    <t>2月28</t>
  </si>
  <si>
    <t>基础值</t>
  </si>
  <si>
    <t>提升</t>
  </si>
  <si>
    <t>充值人数-2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</si>
</sst>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b/>
      <sz val="10"/>
      <color rgb="FF000000"/>
      <name val="PingFang SC"/>
      <family val="2"/>
      <charset val="134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1" fillId="2" borderId="0" xfId="1" applyFill="1"/>
    <xf numFmtId="14" fontId="1" fillId="0" borderId="0" xfId="1" applyNumberFormat="1"/>
    <xf numFmtId="0" fontId="1" fillId="0" borderId="0" xfId="2"/>
    <xf numFmtId="0" fontId="1" fillId="2" borderId="0" xfId="2" applyFill="1"/>
    <xf numFmtId="14" fontId="1" fillId="0" borderId="0" xfId="2" applyNumberFormat="1"/>
    <xf numFmtId="0" fontId="1" fillId="0" borderId="0" xfId="3"/>
    <xf numFmtId="14" fontId="1" fillId="0" borderId="0" xfId="3" applyNumberFormat="1"/>
    <xf numFmtId="0" fontId="1" fillId="2" borderId="0" xfId="3" applyFill="1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3" fillId="2" borderId="0" xfId="0" applyFont="1" applyFill="1"/>
    <xf numFmtId="1" fontId="5" fillId="2" borderId="0" xfId="0" applyNumberFormat="1" applyFont="1" applyFill="1"/>
    <xf numFmtId="1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4" applyNumberFormat="1" applyFont="1"/>
    <xf numFmtId="10" fontId="0" fillId="0" borderId="0" xfId="4" applyNumberFormat="1" applyFont="1"/>
    <xf numFmtId="10" fontId="0" fillId="0" borderId="0" xfId="0" applyNumberFormat="1"/>
    <xf numFmtId="1" fontId="0" fillId="0" borderId="0" xfId="4" applyNumberFormat="1" applyFont="1"/>
    <xf numFmtId="1" fontId="0" fillId="2" borderId="0" xfId="0" applyNumberFormat="1" applyFill="1" applyAlignment="1">
      <alignment horizontal="center"/>
    </xf>
    <xf numFmtId="10" fontId="0" fillId="2" borderId="0" xfId="4" applyNumberFormat="1" applyFont="1" applyFill="1"/>
    <xf numFmtId="10" fontId="0" fillId="3" borderId="0" xfId="4" applyNumberFormat="1" applyFont="1" applyFill="1"/>
    <xf numFmtId="10" fontId="0" fillId="4" borderId="0" xfId="4" applyNumberFormat="1" applyFont="1" applyFill="1"/>
    <xf numFmtId="10" fontId="0" fillId="5" borderId="0" xfId="4" applyNumberFormat="1" applyFont="1" applyFill="1"/>
    <xf numFmtId="1" fontId="0" fillId="0" borderId="0" xfId="0" applyNumberFormat="1"/>
    <xf numFmtId="0" fontId="5" fillId="5" borderId="0" xfId="0" applyFont="1" applyFill="1"/>
    <xf numFmtId="0" fontId="0" fillId="5" borderId="0" xfId="0" applyFill="1"/>
  </cellXfs>
  <cellStyles count="5">
    <cellStyle name="Normal" xfId="0" builtinId="0"/>
    <cellStyle name="Normal 2" xfId="1" xr:uid="{C7C34961-8512-2F47-9708-4A09B5849187}"/>
    <cellStyle name="Normal 3" xfId="2" xr:uid="{41AEEE35-308E-E54D-8814-4DB3D867479B}"/>
    <cellStyle name="Normal 4" xfId="3" xr:uid="{2F7A0EA6-2A84-3645-AB2B-BAAC4A7031EB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D5D8-74A8-CC42-A070-D37CF14EF4C0}">
  <dimension ref="A1:DB31"/>
  <sheetViews>
    <sheetView workbookViewId="0">
      <selection activeCell="AF1" sqref="AF1"/>
    </sheetView>
  </sheetViews>
  <sheetFormatPr baseColWidth="10" defaultRowHeight="15"/>
  <cols>
    <col min="1" max="8" width="10.83203125" style="7"/>
    <col min="9" max="9" width="19.83203125" style="7" customWidth="1"/>
    <col min="10" max="16384" width="10.83203125" style="7"/>
  </cols>
  <sheetData>
    <row r="1" spans="1:106">
      <c r="A1" s="9" t="s">
        <v>0</v>
      </c>
      <c r="B1" s="9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9" t="s">
        <v>12</v>
      </c>
      <c r="N1" s="7" t="s">
        <v>13</v>
      </c>
      <c r="O1" s="9" t="s">
        <v>14</v>
      </c>
      <c r="P1" s="7" t="s">
        <v>90</v>
      </c>
      <c r="Q1" s="7" t="s">
        <v>91</v>
      </c>
      <c r="R1" s="7" t="s">
        <v>92</v>
      </c>
      <c r="S1" s="7" t="s">
        <v>93</v>
      </c>
      <c r="T1" s="7" t="s">
        <v>94</v>
      </c>
      <c r="U1" s="7" t="s">
        <v>95</v>
      </c>
      <c r="V1" s="7" t="s">
        <v>96</v>
      </c>
      <c r="W1" s="7" t="s">
        <v>97</v>
      </c>
      <c r="X1" s="7" t="s">
        <v>98</v>
      </c>
      <c r="Y1" s="7" t="s">
        <v>99</v>
      </c>
      <c r="Z1" s="7" t="s">
        <v>100</v>
      </c>
      <c r="AA1" s="7" t="s">
        <v>101</v>
      </c>
      <c r="AB1" s="7" t="s">
        <v>102</v>
      </c>
      <c r="AC1" s="7" t="s">
        <v>103</v>
      </c>
      <c r="AD1" s="7" t="s">
        <v>104</v>
      </c>
      <c r="AE1" s="7" t="s">
        <v>105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32</v>
      </c>
      <c r="AX1" s="7" t="s">
        <v>33</v>
      </c>
      <c r="AY1" s="7" t="s">
        <v>34</v>
      </c>
      <c r="AZ1" s="7" t="s">
        <v>35</v>
      </c>
      <c r="BA1" s="7" t="s">
        <v>36</v>
      </c>
      <c r="BB1" s="7" t="s">
        <v>37</v>
      </c>
      <c r="BC1" s="7" t="s">
        <v>38</v>
      </c>
      <c r="BD1" s="7" t="s">
        <v>39</v>
      </c>
      <c r="BE1" s="7" t="s">
        <v>40</v>
      </c>
      <c r="BF1" s="7" t="s">
        <v>41</v>
      </c>
      <c r="BG1" s="7" t="s">
        <v>42</v>
      </c>
      <c r="BH1" s="7" t="s">
        <v>43</v>
      </c>
      <c r="BI1" s="7" t="s">
        <v>44</v>
      </c>
      <c r="BJ1" s="7" t="s">
        <v>45</v>
      </c>
      <c r="BK1" s="7" t="s">
        <v>46</v>
      </c>
      <c r="BL1" s="7" t="s">
        <v>47</v>
      </c>
      <c r="BM1" s="7" t="s">
        <v>48</v>
      </c>
      <c r="BN1" s="7" t="s">
        <v>49</v>
      </c>
      <c r="BO1" s="7" t="s">
        <v>50</v>
      </c>
      <c r="BP1" s="7" t="s">
        <v>51</v>
      </c>
      <c r="BQ1" s="7" t="s">
        <v>52</v>
      </c>
      <c r="BR1" s="7" t="s">
        <v>53</v>
      </c>
      <c r="BS1" s="7" t="s">
        <v>54</v>
      </c>
      <c r="BT1" s="7" t="s">
        <v>55</v>
      </c>
      <c r="BU1" s="7" t="s">
        <v>56</v>
      </c>
      <c r="BV1" s="7" t="s">
        <v>57</v>
      </c>
      <c r="BW1" s="7" t="s">
        <v>58</v>
      </c>
      <c r="BX1" s="7" t="s">
        <v>59</v>
      </c>
      <c r="BY1" s="7" t="s">
        <v>60</v>
      </c>
      <c r="BZ1" s="7" t="s">
        <v>61</v>
      </c>
      <c r="CA1" s="7" t="s">
        <v>62</v>
      </c>
      <c r="CB1" s="7" t="s">
        <v>63</v>
      </c>
      <c r="CC1" s="7" t="s">
        <v>64</v>
      </c>
      <c r="CD1" s="7" t="s">
        <v>65</v>
      </c>
      <c r="CE1" s="7" t="s">
        <v>66</v>
      </c>
      <c r="CF1" s="7" t="s">
        <v>67</v>
      </c>
      <c r="CG1" s="7" t="s">
        <v>68</v>
      </c>
      <c r="CH1" s="7" t="s">
        <v>69</v>
      </c>
      <c r="CI1" s="7" t="s">
        <v>70</v>
      </c>
      <c r="CJ1" s="7" t="s">
        <v>71</v>
      </c>
      <c r="CK1" s="7" t="s">
        <v>72</v>
      </c>
      <c r="CL1" s="7" t="s">
        <v>73</v>
      </c>
      <c r="CM1" s="7" t="s">
        <v>74</v>
      </c>
      <c r="CN1" s="7" t="s">
        <v>75</v>
      </c>
      <c r="CO1" s="7" t="s">
        <v>76</v>
      </c>
      <c r="CP1" s="7" t="s">
        <v>77</v>
      </c>
      <c r="CQ1" s="7" t="s">
        <v>78</v>
      </c>
      <c r="CR1" s="7" t="s">
        <v>79</v>
      </c>
      <c r="CS1" s="7" t="s">
        <v>80</v>
      </c>
      <c r="CT1" s="7" t="s">
        <v>81</v>
      </c>
      <c r="CU1" s="7" t="s">
        <v>82</v>
      </c>
      <c r="CV1" s="7" t="s">
        <v>83</v>
      </c>
      <c r="CW1" s="7" t="s">
        <v>84</v>
      </c>
      <c r="CX1" s="7" t="s">
        <v>85</v>
      </c>
      <c r="CY1" s="7" t="s">
        <v>86</v>
      </c>
      <c r="CZ1" s="7" t="s">
        <v>87</v>
      </c>
      <c r="DA1" s="7" t="s">
        <v>88</v>
      </c>
      <c r="DB1" s="7" t="s">
        <v>89</v>
      </c>
    </row>
    <row r="2" spans="1:106">
      <c r="A2" s="8">
        <v>45991</v>
      </c>
      <c r="B2" s="7">
        <v>796</v>
      </c>
      <c r="C2" s="7">
        <v>366</v>
      </c>
      <c r="D2" s="7">
        <v>0</v>
      </c>
      <c r="E2" s="9">
        <v>41049</v>
      </c>
      <c r="F2" s="7">
        <v>51460</v>
      </c>
      <c r="G2" s="7">
        <v>4231250</v>
      </c>
      <c r="H2" s="7">
        <v>928295</v>
      </c>
      <c r="I2" s="7">
        <v>0</v>
      </c>
      <c r="J2" s="7">
        <v>3660791</v>
      </c>
      <c r="K2" s="9">
        <v>570459</v>
      </c>
      <c r="L2" s="7">
        <v>10868761.68</v>
      </c>
      <c r="M2" s="9">
        <v>35859640.810000002</v>
      </c>
      <c r="N2" s="7">
        <v>799335.38</v>
      </c>
      <c r="O2" s="7">
        <v>519</v>
      </c>
      <c r="P2" s="7">
        <v>243</v>
      </c>
      <c r="Q2" s="7">
        <v>0</v>
      </c>
      <c r="R2" s="7">
        <v>310758</v>
      </c>
      <c r="S2" s="7">
        <v>90258</v>
      </c>
      <c r="T2" s="7">
        <v>0</v>
      </c>
      <c r="U2" s="7">
        <v>0</v>
      </c>
      <c r="V2" s="7">
        <v>355</v>
      </c>
      <c r="W2" s="7">
        <v>125594</v>
      </c>
      <c r="X2" s="7">
        <v>267</v>
      </c>
      <c r="Y2" s="7">
        <v>98001</v>
      </c>
      <c r="Z2" s="7">
        <v>0</v>
      </c>
      <c r="AA2" s="7">
        <v>0</v>
      </c>
      <c r="AB2" s="7">
        <v>89084.86</v>
      </c>
      <c r="AC2" s="7">
        <v>0</v>
      </c>
      <c r="AD2" s="7">
        <v>0</v>
      </c>
      <c r="AE2" s="7">
        <v>163</v>
      </c>
      <c r="AF2" s="7">
        <v>5580</v>
      </c>
      <c r="AG2" s="7">
        <v>1332</v>
      </c>
      <c r="AH2" s="7">
        <v>0</v>
      </c>
      <c r="AI2" s="7">
        <v>5337503</v>
      </c>
      <c r="AJ2" s="7">
        <v>5230782.9400000004</v>
      </c>
      <c r="AK2" s="7">
        <v>106720.06</v>
      </c>
      <c r="AL2" s="7">
        <v>5058704.09</v>
      </c>
      <c r="AM2" s="7">
        <v>279198.90999999997</v>
      </c>
      <c r="AN2" s="7">
        <v>29354589.039999999</v>
      </c>
      <c r="AO2" s="7">
        <v>29186598.489999998</v>
      </c>
      <c r="AP2" s="7">
        <v>1335539.52</v>
      </c>
      <c r="AQ2" s="7">
        <v>45088</v>
      </c>
      <c r="AR2" s="7">
        <v>13330</v>
      </c>
      <c r="AS2" s="7">
        <v>6934</v>
      </c>
      <c r="AT2" s="7">
        <v>24.63</v>
      </c>
      <c r="AU2" s="7">
        <v>14202</v>
      </c>
      <c r="AV2" s="7">
        <v>21185.68</v>
      </c>
      <c r="AW2" s="7">
        <v>41262.699999999997</v>
      </c>
      <c r="AX2" s="7">
        <v>16125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128525</v>
      </c>
      <c r="BF2" s="7">
        <v>4996</v>
      </c>
      <c r="BG2" s="7">
        <v>15322</v>
      </c>
      <c r="BH2" s="7">
        <v>22910</v>
      </c>
      <c r="BI2" s="7">
        <v>9490</v>
      </c>
      <c r="BK2" s="7">
        <v>58180</v>
      </c>
      <c r="BL2" s="7">
        <v>34314</v>
      </c>
      <c r="BM2" s="7">
        <v>0</v>
      </c>
      <c r="BN2" s="7">
        <v>0</v>
      </c>
      <c r="BO2" s="7">
        <v>0</v>
      </c>
      <c r="BP2" s="7">
        <v>20858</v>
      </c>
      <c r="BQ2" s="7">
        <v>16</v>
      </c>
      <c r="BR2" s="7">
        <v>82376</v>
      </c>
      <c r="BS2" s="7">
        <v>0</v>
      </c>
      <c r="BT2" s="7">
        <v>0</v>
      </c>
      <c r="BU2" s="7">
        <v>145365</v>
      </c>
      <c r="BV2" s="7">
        <v>81164.509999999995</v>
      </c>
      <c r="BW2" s="7">
        <v>0</v>
      </c>
      <c r="BX2" s="7">
        <v>0</v>
      </c>
      <c r="BY2" s="7">
        <v>49676</v>
      </c>
      <c r="BZ2" s="7">
        <v>1146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42410</v>
      </c>
      <c r="CQ2" s="7">
        <v>0</v>
      </c>
      <c r="CR2" s="7">
        <v>0</v>
      </c>
      <c r="CS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</row>
    <row r="3" spans="1:106">
      <c r="A3" s="8">
        <v>45990</v>
      </c>
      <c r="B3" s="7">
        <v>874</v>
      </c>
      <c r="C3" s="7">
        <v>398</v>
      </c>
      <c r="D3" s="7">
        <v>0</v>
      </c>
      <c r="E3" s="9">
        <v>41977</v>
      </c>
      <c r="F3" s="7">
        <v>52662</v>
      </c>
      <c r="G3" s="7">
        <v>4059709</v>
      </c>
      <c r="H3" s="7">
        <v>836940</v>
      </c>
      <c r="I3" s="7">
        <v>0</v>
      </c>
      <c r="J3" s="7">
        <v>3224572</v>
      </c>
      <c r="K3" s="9">
        <v>835137</v>
      </c>
      <c r="L3" s="7">
        <v>11007968.529999999</v>
      </c>
      <c r="M3" s="9">
        <v>36023779.5</v>
      </c>
      <c r="N3" s="7">
        <v>808723.19</v>
      </c>
      <c r="O3" s="7">
        <v>494</v>
      </c>
      <c r="P3" s="7">
        <v>214</v>
      </c>
      <c r="Q3" s="7">
        <v>0</v>
      </c>
      <c r="R3" s="7">
        <v>179187</v>
      </c>
      <c r="S3" s="7">
        <v>81283</v>
      </c>
      <c r="T3" s="7">
        <v>0</v>
      </c>
      <c r="U3" s="7">
        <v>0</v>
      </c>
      <c r="V3" s="7">
        <v>338</v>
      </c>
      <c r="W3" s="7">
        <v>116621</v>
      </c>
      <c r="X3" s="7">
        <v>277</v>
      </c>
      <c r="Y3" s="7">
        <v>107797</v>
      </c>
      <c r="Z3" s="7">
        <v>0</v>
      </c>
      <c r="AA3" s="7">
        <v>0</v>
      </c>
      <c r="AB3" s="7">
        <v>87554.3</v>
      </c>
      <c r="AC3" s="7">
        <v>0</v>
      </c>
      <c r="AD3" s="7">
        <v>0</v>
      </c>
      <c r="AE3" s="7">
        <v>234</v>
      </c>
      <c r="AF3" s="7">
        <v>5600</v>
      </c>
      <c r="AG3" s="7">
        <v>1327</v>
      </c>
      <c r="AH3" s="7">
        <v>0</v>
      </c>
      <c r="AI3" s="7">
        <v>5214459</v>
      </c>
      <c r="AJ3" s="7">
        <v>5110201.82</v>
      </c>
      <c r="AK3" s="7">
        <v>104257.18</v>
      </c>
      <c r="AL3" s="7">
        <v>4888733.72</v>
      </c>
      <c r="AM3" s="7">
        <v>325575.28000000003</v>
      </c>
      <c r="AN3" s="7">
        <v>28600245.539999999</v>
      </c>
      <c r="AO3" s="7">
        <v>29505190.579999998</v>
      </c>
      <c r="AP3" s="7">
        <v>1304130.1499999999</v>
      </c>
      <c r="AQ3" s="7">
        <v>28134</v>
      </c>
      <c r="AR3" s="7">
        <v>12298</v>
      </c>
      <c r="AS3" s="7">
        <v>7258</v>
      </c>
      <c r="AT3" s="7">
        <v>16.03</v>
      </c>
      <c r="AU3" s="7">
        <v>14400</v>
      </c>
      <c r="AV3" s="7">
        <v>21744.12</v>
      </c>
      <c r="AW3" s="7">
        <v>45820.27</v>
      </c>
      <c r="AX3" s="7">
        <v>17603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19014</v>
      </c>
      <c r="BF3" s="7">
        <v>4586</v>
      </c>
      <c r="BG3" s="7">
        <v>14877</v>
      </c>
      <c r="BH3" s="7">
        <v>26136</v>
      </c>
      <c r="BI3" s="7">
        <v>8290</v>
      </c>
      <c r="BK3" s="7">
        <v>68180</v>
      </c>
      <c r="BL3" s="7">
        <v>26281</v>
      </c>
      <c r="BM3" s="7">
        <v>0</v>
      </c>
      <c r="BN3" s="7">
        <v>0</v>
      </c>
      <c r="BO3" s="7">
        <v>0</v>
      </c>
      <c r="BP3" s="7">
        <v>20634</v>
      </c>
      <c r="BQ3" s="7">
        <v>0</v>
      </c>
      <c r="BR3" s="7">
        <v>82500</v>
      </c>
      <c r="BS3" s="7">
        <v>0</v>
      </c>
      <c r="BT3" s="7">
        <v>0</v>
      </c>
      <c r="BU3" s="7">
        <v>168362</v>
      </c>
      <c r="BV3" s="7">
        <v>77380.47</v>
      </c>
      <c r="BW3" s="7">
        <v>0</v>
      </c>
      <c r="BX3" s="7">
        <v>0</v>
      </c>
      <c r="BY3" s="7">
        <v>47770</v>
      </c>
      <c r="BZ3" s="7">
        <v>1122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45380</v>
      </c>
      <c r="CQ3" s="7">
        <v>0</v>
      </c>
      <c r="CR3" s="7">
        <v>0</v>
      </c>
      <c r="CS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</row>
    <row r="4" spans="1:106">
      <c r="A4" s="8">
        <v>45989</v>
      </c>
      <c r="B4" s="7">
        <v>893</v>
      </c>
      <c r="C4" s="7">
        <v>388</v>
      </c>
      <c r="D4" s="7">
        <v>0</v>
      </c>
      <c r="E4" s="9">
        <v>42264</v>
      </c>
      <c r="F4" s="7">
        <v>53883</v>
      </c>
      <c r="G4" s="7">
        <v>4146435</v>
      </c>
      <c r="H4" s="7">
        <v>886903</v>
      </c>
      <c r="I4" s="7">
        <v>0</v>
      </c>
      <c r="J4" s="7">
        <v>3575186</v>
      </c>
      <c r="K4" s="9">
        <v>571249</v>
      </c>
      <c r="L4" s="7">
        <v>10875222.52</v>
      </c>
      <c r="M4" s="9">
        <v>36684450.640000001</v>
      </c>
      <c r="N4" s="7">
        <v>834367.86</v>
      </c>
      <c r="O4" s="7">
        <v>549</v>
      </c>
      <c r="P4" s="7">
        <v>227</v>
      </c>
      <c r="Q4" s="7">
        <v>0</v>
      </c>
      <c r="R4" s="7">
        <v>158025</v>
      </c>
      <c r="S4" s="7">
        <v>78343</v>
      </c>
      <c r="T4" s="7">
        <v>0</v>
      </c>
      <c r="U4" s="7">
        <v>0</v>
      </c>
      <c r="V4" s="7">
        <v>356</v>
      </c>
      <c r="W4" s="7">
        <v>109475</v>
      </c>
      <c r="X4" s="7">
        <v>354</v>
      </c>
      <c r="Y4" s="7">
        <v>123187</v>
      </c>
      <c r="Z4" s="7">
        <v>0</v>
      </c>
      <c r="AA4" s="7">
        <v>0</v>
      </c>
      <c r="AB4" s="7">
        <v>85155.91</v>
      </c>
      <c r="AC4" s="7">
        <v>0</v>
      </c>
      <c r="AD4" s="7">
        <v>0</v>
      </c>
      <c r="AE4" s="7">
        <v>146</v>
      </c>
      <c r="AF4" s="7">
        <v>6142</v>
      </c>
      <c r="AG4" s="7">
        <v>1473</v>
      </c>
      <c r="AH4" s="7">
        <v>0</v>
      </c>
      <c r="AI4" s="7">
        <v>5801979</v>
      </c>
      <c r="AJ4" s="7">
        <v>5685967.4199999999</v>
      </c>
      <c r="AK4" s="7">
        <v>116011.58</v>
      </c>
      <c r="AL4" s="7">
        <v>5442792.8499999996</v>
      </c>
      <c r="AM4" s="7">
        <v>358886.15</v>
      </c>
      <c r="AN4" s="7">
        <v>29429585.620000001</v>
      </c>
      <c r="AO4" s="7">
        <v>29467860.890000001</v>
      </c>
      <c r="AP4" s="7">
        <v>1414610.9</v>
      </c>
      <c r="AQ4" s="7">
        <v>26540</v>
      </c>
      <c r="AR4" s="7">
        <v>12116</v>
      </c>
      <c r="AS4" s="7">
        <v>8564</v>
      </c>
      <c r="AT4" s="7">
        <v>722.75</v>
      </c>
      <c r="AU4" s="7">
        <v>15240</v>
      </c>
      <c r="AV4" s="7">
        <v>25311.37</v>
      </c>
      <c r="AW4" s="7">
        <v>46876.15</v>
      </c>
      <c r="AX4" s="7">
        <v>21019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31786</v>
      </c>
      <c r="BF4" s="7">
        <v>4904</v>
      </c>
      <c r="BG4" s="7">
        <v>15785</v>
      </c>
      <c r="BH4" s="7">
        <v>32640</v>
      </c>
      <c r="BI4" s="7">
        <v>10750</v>
      </c>
      <c r="BK4" s="7">
        <v>59280</v>
      </c>
      <c r="BL4" s="7">
        <v>27451</v>
      </c>
      <c r="BM4" s="7">
        <v>0</v>
      </c>
      <c r="BN4" s="7">
        <v>0</v>
      </c>
      <c r="BO4" s="7">
        <v>0</v>
      </c>
      <c r="BP4" s="7">
        <v>22458</v>
      </c>
      <c r="BQ4" s="7">
        <v>32</v>
      </c>
      <c r="BR4" s="7">
        <v>68500</v>
      </c>
      <c r="BS4" s="7">
        <v>0</v>
      </c>
      <c r="BT4" s="7">
        <v>0</v>
      </c>
      <c r="BU4" s="7">
        <v>176668</v>
      </c>
      <c r="BV4" s="7">
        <v>88439.679999999993</v>
      </c>
      <c r="BW4" s="7">
        <v>0</v>
      </c>
      <c r="BX4" s="7">
        <v>0</v>
      </c>
      <c r="BY4" s="7">
        <v>49292</v>
      </c>
      <c r="BZ4" s="7">
        <v>1280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56362</v>
      </c>
      <c r="CQ4" s="7">
        <v>0</v>
      </c>
      <c r="CR4" s="7">
        <v>0</v>
      </c>
      <c r="CS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</row>
    <row r="5" spans="1:106">
      <c r="A5" s="8">
        <v>45988</v>
      </c>
      <c r="B5" s="7">
        <v>845</v>
      </c>
      <c r="C5" s="7">
        <v>440</v>
      </c>
      <c r="D5" s="7">
        <v>0</v>
      </c>
      <c r="E5" s="9">
        <v>43977</v>
      </c>
      <c r="F5" s="7">
        <v>56095</v>
      </c>
      <c r="G5" s="7">
        <v>4475069</v>
      </c>
      <c r="H5" s="7">
        <v>874027</v>
      </c>
      <c r="I5" s="7">
        <v>0</v>
      </c>
      <c r="J5" s="7">
        <v>3982385</v>
      </c>
      <c r="K5" s="9">
        <v>492684</v>
      </c>
      <c r="L5" s="7">
        <v>10965299.73</v>
      </c>
      <c r="M5" s="9">
        <v>41708039.020000003</v>
      </c>
      <c r="N5" s="7">
        <v>1329736.1399999999</v>
      </c>
      <c r="O5" s="7">
        <v>485</v>
      </c>
      <c r="P5" s="7">
        <v>227</v>
      </c>
      <c r="Q5" s="7">
        <v>0</v>
      </c>
      <c r="R5" s="7">
        <v>145576</v>
      </c>
      <c r="S5" s="7">
        <v>74113</v>
      </c>
      <c r="T5" s="7">
        <v>0</v>
      </c>
      <c r="U5" s="7">
        <v>0</v>
      </c>
      <c r="V5" s="7">
        <v>363</v>
      </c>
      <c r="W5" s="7">
        <v>113127</v>
      </c>
      <c r="X5" s="7">
        <v>330</v>
      </c>
      <c r="Y5" s="7">
        <v>157151</v>
      </c>
      <c r="Z5" s="7">
        <v>0</v>
      </c>
      <c r="AA5" s="7">
        <v>0</v>
      </c>
      <c r="AB5" s="7">
        <v>95579.94</v>
      </c>
      <c r="AC5" s="7">
        <v>0</v>
      </c>
      <c r="AD5" s="7">
        <v>0</v>
      </c>
      <c r="AE5" s="7">
        <v>64</v>
      </c>
      <c r="AF5" s="7">
        <v>7493</v>
      </c>
      <c r="AG5" s="7">
        <v>1802</v>
      </c>
      <c r="AH5" s="7">
        <v>0</v>
      </c>
      <c r="AI5" s="7">
        <v>5815283</v>
      </c>
      <c r="AJ5" s="7">
        <v>5699011.3399999999</v>
      </c>
      <c r="AK5" s="7">
        <v>116271.66</v>
      </c>
      <c r="AL5" s="7">
        <v>5400328.7699999996</v>
      </c>
      <c r="AM5" s="7">
        <v>414704.23</v>
      </c>
      <c r="AN5" s="7">
        <v>34502881.850000001</v>
      </c>
      <c r="AO5" s="7">
        <v>34730419.490000002</v>
      </c>
      <c r="AP5" s="7">
        <v>1162336.83</v>
      </c>
      <c r="AQ5" s="7">
        <v>24226</v>
      </c>
      <c r="AR5" s="7">
        <v>12868</v>
      </c>
      <c r="AS5" s="7">
        <v>10152</v>
      </c>
      <c r="AT5" s="7">
        <v>464.44</v>
      </c>
      <c r="AU5" s="7">
        <v>14154</v>
      </c>
      <c r="AV5" s="7">
        <v>21393.46</v>
      </c>
      <c r="AW5" s="7">
        <v>42692</v>
      </c>
      <c r="AX5" s="7">
        <v>16816</v>
      </c>
      <c r="AY5" s="7">
        <v>0</v>
      </c>
      <c r="AZ5" s="7">
        <v>0</v>
      </c>
      <c r="BA5" s="7">
        <v>0</v>
      </c>
      <c r="BB5" s="7">
        <v>0</v>
      </c>
      <c r="BC5" s="7">
        <v>3.98</v>
      </c>
      <c r="BD5" s="7">
        <v>0</v>
      </c>
      <c r="BE5" s="7">
        <v>62533</v>
      </c>
      <c r="BF5" s="7">
        <v>3928</v>
      </c>
      <c r="BG5" s="7">
        <v>17784</v>
      </c>
      <c r="BH5" s="7">
        <v>45990</v>
      </c>
      <c r="BI5" s="7">
        <v>9840</v>
      </c>
      <c r="BK5" s="7">
        <v>64920</v>
      </c>
      <c r="BL5" s="7">
        <v>24480</v>
      </c>
      <c r="BM5" s="7">
        <v>0</v>
      </c>
      <c r="BN5" s="7">
        <v>0</v>
      </c>
      <c r="BO5" s="7">
        <v>0</v>
      </c>
      <c r="BP5" s="7">
        <v>24948</v>
      </c>
      <c r="BQ5" s="7">
        <v>300688</v>
      </c>
      <c r="BR5" s="7">
        <v>74688</v>
      </c>
      <c r="BS5" s="7">
        <v>0</v>
      </c>
      <c r="BT5" s="7">
        <v>0</v>
      </c>
      <c r="BU5" s="7">
        <v>363639</v>
      </c>
      <c r="BV5" s="7">
        <v>72523.320000000007</v>
      </c>
      <c r="BW5" s="7">
        <v>0</v>
      </c>
      <c r="BX5" s="7">
        <v>0</v>
      </c>
      <c r="BY5" s="7">
        <v>50278</v>
      </c>
      <c r="BZ5" s="7">
        <v>1666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52830</v>
      </c>
      <c r="CQ5" s="7">
        <v>0</v>
      </c>
      <c r="CR5" s="7">
        <v>0</v>
      </c>
      <c r="CS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</row>
    <row r="6" spans="1:106">
      <c r="A6" s="8">
        <v>45987</v>
      </c>
      <c r="B6" s="7">
        <v>945</v>
      </c>
      <c r="C6" s="7">
        <v>403</v>
      </c>
      <c r="D6" s="7">
        <v>0</v>
      </c>
      <c r="E6" s="9">
        <v>47161</v>
      </c>
      <c r="F6" s="7">
        <v>58584</v>
      </c>
      <c r="G6" s="7">
        <v>3958608</v>
      </c>
      <c r="H6" s="7">
        <v>695841</v>
      </c>
      <c r="I6" s="7">
        <v>0</v>
      </c>
      <c r="J6" s="7">
        <v>3757969</v>
      </c>
      <c r="K6" s="9">
        <v>200639</v>
      </c>
      <c r="L6" s="7">
        <v>11333634.369999999</v>
      </c>
      <c r="M6" s="9">
        <v>36297742.079999998</v>
      </c>
      <c r="N6" s="7">
        <v>1057918.93</v>
      </c>
      <c r="O6" s="7">
        <v>527</v>
      </c>
      <c r="P6" s="7">
        <v>219</v>
      </c>
      <c r="Q6" s="7">
        <v>0</v>
      </c>
      <c r="R6" s="7">
        <v>170957</v>
      </c>
      <c r="S6" s="7">
        <v>83696</v>
      </c>
      <c r="T6" s="7">
        <v>0</v>
      </c>
      <c r="U6" s="7">
        <v>0</v>
      </c>
      <c r="V6" s="7">
        <v>387</v>
      </c>
      <c r="W6" s="7">
        <v>128684</v>
      </c>
      <c r="X6" s="7">
        <v>339</v>
      </c>
      <c r="Y6" s="7">
        <v>130333</v>
      </c>
      <c r="Z6" s="7">
        <v>0</v>
      </c>
      <c r="AA6" s="7">
        <v>0</v>
      </c>
      <c r="AB6" s="7">
        <v>77728.37</v>
      </c>
      <c r="AC6" s="7">
        <v>0</v>
      </c>
      <c r="AD6" s="7">
        <v>0</v>
      </c>
      <c r="AE6" s="7">
        <v>4462</v>
      </c>
      <c r="AF6" s="7">
        <v>6107</v>
      </c>
      <c r="AG6" s="7">
        <v>1382</v>
      </c>
      <c r="AH6" s="7">
        <v>0</v>
      </c>
      <c r="AI6" s="7">
        <v>5619206</v>
      </c>
      <c r="AJ6" s="7">
        <v>5506883.8799999999</v>
      </c>
      <c r="AK6" s="7">
        <v>112322.12</v>
      </c>
      <c r="AL6" s="7">
        <v>5248954.87</v>
      </c>
      <c r="AM6" s="7">
        <v>369951.13</v>
      </c>
      <c r="AN6" s="7">
        <v>29430943.149999999</v>
      </c>
      <c r="AO6" s="7">
        <v>29495807.809999999</v>
      </c>
      <c r="AP6" s="7">
        <v>1182728.54</v>
      </c>
      <c r="AQ6" s="7">
        <v>28212</v>
      </c>
      <c r="AR6" s="7">
        <v>13412</v>
      </c>
      <c r="AS6" s="7">
        <v>8526</v>
      </c>
      <c r="AT6" s="7">
        <v>25.86</v>
      </c>
      <c r="AU6" s="7">
        <v>13440</v>
      </c>
      <c r="AV6" s="7">
        <v>19943.310000000001</v>
      </c>
      <c r="AW6" s="7">
        <v>33596.300000000003</v>
      </c>
      <c r="AX6" s="7">
        <v>17326</v>
      </c>
      <c r="AY6" s="7">
        <v>0</v>
      </c>
      <c r="AZ6" s="7">
        <v>0</v>
      </c>
      <c r="BA6" s="7">
        <v>0</v>
      </c>
      <c r="BB6" s="7">
        <v>0</v>
      </c>
      <c r="BC6" s="7">
        <v>39.200000000000003</v>
      </c>
      <c r="BD6" s="7">
        <v>0</v>
      </c>
      <c r="BE6" s="7">
        <v>10037</v>
      </c>
      <c r="BF6" s="7">
        <v>4466</v>
      </c>
      <c r="BG6" s="7">
        <v>15350</v>
      </c>
      <c r="BH6" s="7">
        <v>49794</v>
      </c>
      <c r="BI6" s="7">
        <v>9830</v>
      </c>
      <c r="BK6" s="7">
        <v>57180</v>
      </c>
      <c r="BL6" s="7">
        <v>21304</v>
      </c>
      <c r="BM6" s="7">
        <v>0</v>
      </c>
      <c r="BN6" s="7">
        <v>0</v>
      </c>
      <c r="BO6" s="7">
        <v>0</v>
      </c>
      <c r="BP6" s="7">
        <v>22134</v>
      </c>
      <c r="BQ6" s="7">
        <v>0</v>
      </c>
      <c r="BR6" s="7">
        <v>85274</v>
      </c>
      <c r="BS6" s="7">
        <v>0</v>
      </c>
      <c r="BT6" s="7">
        <v>0</v>
      </c>
      <c r="BU6" s="7">
        <v>406770</v>
      </c>
      <c r="BV6" s="7">
        <v>84355.89</v>
      </c>
      <c r="BW6" s="7">
        <v>0</v>
      </c>
      <c r="BX6" s="7">
        <v>0</v>
      </c>
      <c r="BY6" s="7">
        <v>47828</v>
      </c>
      <c r="BZ6" s="7">
        <v>1488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57222</v>
      </c>
      <c r="CQ6" s="7">
        <v>0</v>
      </c>
      <c r="CR6" s="7">
        <v>0</v>
      </c>
      <c r="CS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</row>
    <row r="7" spans="1:106">
      <c r="A7" s="8">
        <v>45986</v>
      </c>
      <c r="B7" s="7">
        <v>905</v>
      </c>
      <c r="C7" s="7">
        <v>419</v>
      </c>
      <c r="D7" s="7">
        <v>0</v>
      </c>
      <c r="E7" s="9">
        <v>41184</v>
      </c>
      <c r="F7" s="7">
        <v>52099</v>
      </c>
      <c r="G7" s="7">
        <v>3642720</v>
      </c>
      <c r="H7" s="7">
        <v>611053</v>
      </c>
      <c r="I7" s="7">
        <v>0</v>
      </c>
      <c r="J7" s="7">
        <v>2910367</v>
      </c>
      <c r="K7" s="9">
        <v>732353</v>
      </c>
      <c r="L7" s="7">
        <v>11117020.560000001</v>
      </c>
      <c r="M7" s="9">
        <v>32783794.219999999</v>
      </c>
      <c r="N7" s="7">
        <v>585202.25</v>
      </c>
      <c r="O7" s="7">
        <v>482</v>
      </c>
      <c r="P7" s="7">
        <v>197</v>
      </c>
      <c r="Q7" s="7">
        <v>0</v>
      </c>
      <c r="R7" s="7">
        <v>166789</v>
      </c>
      <c r="S7" s="7">
        <v>73947</v>
      </c>
      <c r="T7" s="7">
        <v>0</v>
      </c>
      <c r="U7" s="7">
        <v>0</v>
      </c>
      <c r="V7" s="7">
        <v>356</v>
      </c>
      <c r="W7" s="7">
        <v>93128</v>
      </c>
      <c r="X7" s="7">
        <v>305</v>
      </c>
      <c r="Y7" s="7">
        <v>89308</v>
      </c>
      <c r="Z7" s="7">
        <v>0</v>
      </c>
      <c r="AA7" s="7">
        <v>0</v>
      </c>
      <c r="AB7" s="7">
        <v>87973.97</v>
      </c>
      <c r="AC7" s="7">
        <v>0</v>
      </c>
      <c r="AD7" s="7">
        <v>0</v>
      </c>
      <c r="AE7" s="7">
        <v>165</v>
      </c>
      <c r="AF7" s="7">
        <v>5659</v>
      </c>
      <c r="AG7" s="7">
        <v>1298</v>
      </c>
      <c r="AH7" s="7">
        <v>0</v>
      </c>
      <c r="AI7" s="7">
        <v>4243727</v>
      </c>
      <c r="AJ7" s="7">
        <v>4158877.46</v>
      </c>
      <c r="AK7" s="7">
        <v>84849.54</v>
      </c>
      <c r="AL7" s="7">
        <v>3919825.3</v>
      </c>
      <c r="AM7" s="7">
        <v>322651.7</v>
      </c>
      <c r="AN7" s="7">
        <v>27474476.77</v>
      </c>
      <c r="AO7" s="7">
        <v>27331330.100000001</v>
      </c>
      <c r="AP7" s="7">
        <v>1208737.3400000001</v>
      </c>
      <c r="AQ7" s="7">
        <v>26764</v>
      </c>
      <c r="AR7" s="7">
        <v>10666</v>
      </c>
      <c r="AS7" s="7">
        <v>6738</v>
      </c>
      <c r="AT7" s="7">
        <v>15.67</v>
      </c>
      <c r="AU7" s="7">
        <v>12378</v>
      </c>
      <c r="AV7" s="7">
        <v>20535.560000000001</v>
      </c>
      <c r="AW7" s="7">
        <v>38323.89</v>
      </c>
      <c r="AX7" s="7">
        <v>16084</v>
      </c>
      <c r="AY7" s="7">
        <v>0</v>
      </c>
      <c r="AZ7" s="7">
        <v>0</v>
      </c>
      <c r="BA7" s="7">
        <v>0</v>
      </c>
      <c r="BB7" s="7">
        <v>0</v>
      </c>
      <c r="BC7" s="7">
        <v>350.84</v>
      </c>
      <c r="BD7" s="7">
        <v>11158</v>
      </c>
      <c r="BE7" s="7">
        <v>170185</v>
      </c>
      <c r="BF7" s="7">
        <v>3898</v>
      </c>
      <c r="BG7" s="7">
        <v>15547</v>
      </c>
      <c r="BH7" s="7">
        <v>56610</v>
      </c>
      <c r="BI7" s="7">
        <v>7250</v>
      </c>
      <c r="BK7" s="7">
        <v>51360</v>
      </c>
      <c r="BL7" s="7">
        <v>20905</v>
      </c>
      <c r="BM7" s="7">
        <v>0</v>
      </c>
      <c r="BN7" s="7">
        <v>0</v>
      </c>
      <c r="BO7" s="7">
        <v>0</v>
      </c>
      <c r="BP7" s="7">
        <v>18160</v>
      </c>
      <c r="BQ7" s="7">
        <v>16</v>
      </c>
      <c r="BR7" s="7">
        <v>64000</v>
      </c>
      <c r="BS7" s="7">
        <v>0</v>
      </c>
      <c r="BT7" s="7">
        <v>0</v>
      </c>
      <c r="BU7" s="7">
        <v>43783</v>
      </c>
      <c r="BV7" s="7">
        <v>69520.320000000007</v>
      </c>
      <c r="BW7" s="7">
        <v>0</v>
      </c>
      <c r="BX7" s="7">
        <v>0</v>
      </c>
      <c r="BY7" s="7">
        <v>40315</v>
      </c>
      <c r="BZ7" s="7">
        <v>1250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Q7" s="7">
        <v>0</v>
      </c>
      <c r="CR7" s="7">
        <v>0</v>
      </c>
      <c r="CS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</row>
    <row r="8" spans="1:106">
      <c r="A8" s="8">
        <v>45985</v>
      </c>
      <c r="B8" s="7">
        <v>1021</v>
      </c>
      <c r="C8" s="7">
        <v>402</v>
      </c>
      <c r="D8" s="7">
        <v>0</v>
      </c>
      <c r="E8" s="9">
        <v>41972</v>
      </c>
      <c r="F8" s="7">
        <v>53648</v>
      </c>
      <c r="G8" s="7">
        <v>3865955</v>
      </c>
      <c r="H8" s="7">
        <v>664850</v>
      </c>
      <c r="I8" s="7">
        <v>0</v>
      </c>
      <c r="J8" s="7">
        <v>2963026</v>
      </c>
      <c r="K8" s="9">
        <v>902929</v>
      </c>
      <c r="L8" s="7">
        <v>10887502.48</v>
      </c>
      <c r="M8" s="9">
        <v>35987098.149999999</v>
      </c>
      <c r="N8" s="7">
        <v>729760.76</v>
      </c>
      <c r="O8" s="7">
        <v>558</v>
      </c>
      <c r="P8" s="7">
        <v>207</v>
      </c>
      <c r="Q8" s="7">
        <v>0</v>
      </c>
      <c r="R8" s="7">
        <v>254629</v>
      </c>
      <c r="S8" s="7">
        <v>88277</v>
      </c>
      <c r="T8" s="7">
        <v>0</v>
      </c>
      <c r="U8" s="7">
        <v>0</v>
      </c>
      <c r="V8" s="7">
        <v>412</v>
      </c>
      <c r="W8" s="7">
        <v>139536</v>
      </c>
      <c r="X8" s="7">
        <v>336</v>
      </c>
      <c r="Y8" s="7">
        <v>104448</v>
      </c>
      <c r="Z8" s="7">
        <v>0</v>
      </c>
      <c r="AA8" s="7">
        <v>0</v>
      </c>
      <c r="AB8" s="7">
        <v>88701.11</v>
      </c>
      <c r="AC8" s="7">
        <v>0</v>
      </c>
      <c r="AD8" s="7">
        <v>0</v>
      </c>
      <c r="AE8" s="7">
        <v>161</v>
      </c>
      <c r="AF8" s="7">
        <v>6261</v>
      </c>
      <c r="AG8" s="7">
        <v>1413</v>
      </c>
      <c r="AH8" s="7">
        <v>0</v>
      </c>
      <c r="AI8" s="7">
        <v>5252102</v>
      </c>
      <c r="AJ8" s="7">
        <v>5147112.96</v>
      </c>
      <c r="AK8" s="7">
        <v>104989.04</v>
      </c>
      <c r="AL8" s="7">
        <v>4914772.62</v>
      </c>
      <c r="AM8" s="7">
        <v>334679.38</v>
      </c>
      <c r="AN8" s="7">
        <v>29460312.609999999</v>
      </c>
      <c r="AO8" s="7">
        <v>29798183.23</v>
      </c>
      <c r="AP8" s="7">
        <v>936813.13</v>
      </c>
      <c r="AQ8" s="7">
        <v>38052</v>
      </c>
      <c r="AR8" s="7">
        <v>14362</v>
      </c>
      <c r="AS8" s="7">
        <v>7084</v>
      </c>
      <c r="AT8" s="7">
        <v>20.07</v>
      </c>
      <c r="AU8" s="7">
        <v>13320</v>
      </c>
      <c r="AV8" s="7">
        <v>20066.939999999999</v>
      </c>
      <c r="AW8" s="7">
        <v>39624.21</v>
      </c>
      <c r="AX8" s="7">
        <v>16741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210</v>
      </c>
      <c r="BE8" s="7">
        <v>84593</v>
      </c>
      <c r="BF8" s="7">
        <v>3898</v>
      </c>
      <c r="BG8" s="7">
        <v>15099</v>
      </c>
      <c r="BH8" s="7">
        <v>107996</v>
      </c>
      <c r="BI8" s="7">
        <v>8300</v>
      </c>
      <c r="BK8" s="7">
        <v>61530</v>
      </c>
      <c r="BL8" s="7">
        <v>11283</v>
      </c>
      <c r="BM8" s="7">
        <v>0</v>
      </c>
      <c r="BN8" s="7">
        <v>0</v>
      </c>
      <c r="BO8" s="7">
        <v>0</v>
      </c>
      <c r="BP8" s="7">
        <v>19916</v>
      </c>
      <c r="BQ8" s="7">
        <v>16</v>
      </c>
      <c r="BR8" s="7">
        <v>83086</v>
      </c>
      <c r="BS8" s="7">
        <v>0</v>
      </c>
      <c r="BT8" s="7">
        <v>0</v>
      </c>
      <c r="BU8" s="7">
        <v>70504</v>
      </c>
      <c r="BV8" s="7">
        <v>82742.429999999993</v>
      </c>
      <c r="BW8" s="7">
        <v>0</v>
      </c>
      <c r="BX8" s="7">
        <v>0</v>
      </c>
      <c r="BY8" s="7">
        <v>43250</v>
      </c>
      <c r="BZ8" s="7">
        <v>1120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Q8" s="7">
        <v>0</v>
      </c>
      <c r="CR8" s="7">
        <v>0</v>
      </c>
      <c r="CS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</row>
    <row r="9" spans="1:106">
      <c r="A9" s="8">
        <v>45984</v>
      </c>
      <c r="B9" s="7">
        <v>938</v>
      </c>
      <c r="C9" s="7">
        <v>385</v>
      </c>
      <c r="D9" s="7">
        <v>0</v>
      </c>
      <c r="E9" s="9">
        <v>41796</v>
      </c>
      <c r="F9" s="7">
        <v>53761</v>
      </c>
      <c r="G9" s="7">
        <v>3654143</v>
      </c>
      <c r="H9" s="7">
        <v>673428</v>
      </c>
      <c r="I9" s="7">
        <v>0</v>
      </c>
      <c r="J9" s="7">
        <v>2817345</v>
      </c>
      <c r="K9" s="9">
        <v>836798</v>
      </c>
      <c r="L9" s="7">
        <v>10924068.539999999</v>
      </c>
      <c r="M9" s="9">
        <v>34034111.229999997</v>
      </c>
      <c r="N9" s="7">
        <v>654926.67000000004</v>
      </c>
      <c r="O9" s="7">
        <v>587</v>
      </c>
      <c r="P9" s="7">
        <v>227</v>
      </c>
      <c r="Q9" s="7">
        <v>0</v>
      </c>
      <c r="R9" s="7">
        <v>220328</v>
      </c>
      <c r="S9" s="7">
        <v>77907</v>
      </c>
      <c r="T9" s="7">
        <v>0</v>
      </c>
      <c r="U9" s="7">
        <v>0</v>
      </c>
      <c r="V9" s="7">
        <v>424</v>
      </c>
      <c r="W9" s="7">
        <v>124751</v>
      </c>
      <c r="X9" s="7">
        <v>345</v>
      </c>
      <c r="Y9" s="7">
        <v>101359</v>
      </c>
      <c r="Z9" s="7">
        <v>0</v>
      </c>
      <c r="AA9" s="7">
        <v>0</v>
      </c>
      <c r="AB9" s="7">
        <v>87022.66</v>
      </c>
      <c r="AC9" s="7">
        <v>0</v>
      </c>
      <c r="AD9" s="7">
        <v>0</v>
      </c>
      <c r="AE9" s="7">
        <v>111</v>
      </c>
      <c r="AF9" s="7">
        <v>5753</v>
      </c>
      <c r="AG9" s="7">
        <v>1341</v>
      </c>
      <c r="AH9" s="7">
        <v>0</v>
      </c>
      <c r="AI9" s="7">
        <v>5640292</v>
      </c>
      <c r="AJ9" s="7">
        <v>5527559.1600000001</v>
      </c>
      <c r="AK9" s="7">
        <v>112732.84</v>
      </c>
      <c r="AL9" s="7">
        <v>5281655.8499999996</v>
      </c>
      <c r="AM9" s="7">
        <v>356286.15</v>
      </c>
      <c r="AN9" s="7">
        <v>26906213.789999999</v>
      </c>
      <c r="AO9" s="7">
        <v>27038536.859999999</v>
      </c>
      <c r="AP9" s="7">
        <v>1355282.53</v>
      </c>
      <c r="AQ9" s="7">
        <v>34306</v>
      </c>
      <c r="AR9" s="7">
        <v>13984</v>
      </c>
      <c r="AS9" s="7">
        <v>7158</v>
      </c>
      <c r="AT9" s="7">
        <v>6.64</v>
      </c>
      <c r="AU9" s="7">
        <v>14454</v>
      </c>
      <c r="AV9" s="7">
        <v>23551.19</v>
      </c>
      <c r="AW9" s="7">
        <v>49762.13</v>
      </c>
      <c r="AX9" s="7">
        <v>17584</v>
      </c>
      <c r="AY9" s="7">
        <v>0</v>
      </c>
      <c r="AZ9" s="7">
        <v>0</v>
      </c>
      <c r="BA9" s="7">
        <v>940</v>
      </c>
      <c r="BB9" s="7">
        <v>0</v>
      </c>
      <c r="BC9" s="7">
        <v>28</v>
      </c>
      <c r="BD9" s="7">
        <v>0</v>
      </c>
      <c r="BE9" s="7">
        <v>28308</v>
      </c>
      <c r="BF9" s="7">
        <v>5794</v>
      </c>
      <c r="BG9" s="7">
        <v>14831</v>
      </c>
      <c r="BH9" s="7">
        <v>18868</v>
      </c>
      <c r="BI9" s="7">
        <v>8380</v>
      </c>
      <c r="BK9" s="7">
        <v>59070</v>
      </c>
      <c r="BL9" s="7">
        <v>22024</v>
      </c>
      <c r="BM9" s="7">
        <v>0</v>
      </c>
      <c r="BN9" s="7">
        <v>0</v>
      </c>
      <c r="BO9" s="7">
        <v>0</v>
      </c>
      <c r="BP9" s="7">
        <v>20050</v>
      </c>
      <c r="BQ9" s="7">
        <v>0</v>
      </c>
      <c r="BR9" s="7">
        <v>76188</v>
      </c>
      <c r="BS9" s="7">
        <v>0</v>
      </c>
      <c r="BT9" s="7">
        <v>0</v>
      </c>
      <c r="BU9" s="7">
        <v>72854</v>
      </c>
      <c r="BV9" s="7">
        <v>84396.05</v>
      </c>
      <c r="BW9" s="7">
        <v>0</v>
      </c>
      <c r="BX9" s="7">
        <v>0</v>
      </c>
      <c r="BY9" s="7">
        <v>41051</v>
      </c>
      <c r="BZ9" s="7">
        <v>1148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Q9" s="7">
        <v>0</v>
      </c>
      <c r="CR9" s="7">
        <v>0</v>
      </c>
      <c r="CS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</row>
    <row r="10" spans="1:106">
      <c r="A10" s="8">
        <v>45983</v>
      </c>
      <c r="B10" s="7">
        <v>1049</v>
      </c>
      <c r="C10" s="7">
        <v>386</v>
      </c>
      <c r="D10" s="7">
        <v>0</v>
      </c>
      <c r="E10" s="9">
        <v>42176</v>
      </c>
      <c r="F10" s="7">
        <v>54489</v>
      </c>
      <c r="G10" s="7">
        <v>3901477</v>
      </c>
      <c r="H10" s="7">
        <v>763602</v>
      </c>
      <c r="I10" s="7">
        <v>0</v>
      </c>
      <c r="J10" s="7">
        <v>2969864</v>
      </c>
      <c r="K10" s="9">
        <v>931613</v>
      </c>
      <c r="L10" s="7">
        <v>11420802.460000001</v>
      </c>
      <c r="M10" s="9">
        <v>37807166.219999999</v>
      </c>
      <c r="N10" s="7">
        <v>708840.38</v>
      </c>
      <c r="O10" s="7">
        <v>612</v>
      </c>
      <c r="P10" s="7">
        <v>256</v>
      </c>
      <c r="Q10" s="7">
        <v>0</v>
      </c>
      <c r="R10" s="7">
        <v>225372</v>
      </c>
      <c r="S10" s="7">
        <v>95732</v>
      </c>
      <c r="T10" s="7">
        <v>0</v>
      </c>
      <c r="U10" s="7">
        <v>0</v>
      </c>
      <c r="V10" s="7">
        <v>452</v>
      </c>
      <c r="W10" s="7">
        <v>146271</v>
      </c>
      <c r="X10" s="7">
        <v>342</v>
      </c>
      <c r="Y10" s="7">
        <v>119006</v>
      </c>
      <c r="Z10" s="7">
        <v>0</v>
      </c>
      <c r="AA10" s="7">
        <v>0</v>
      </c>
      <c r="AB10" s="7">
        <v>88739.79</v>
      </c>
      <c r="AC10" s="7">
        <v>0</v>
      </c>
      <c r="AD10" s="7">
        <v>0</v>
      </c>
      <c r="AE10" s="7">
        <v>16</v>
      </c>
      <c r="AF10" s="7">
        <v>6193</v>
      </c>
      <c r="AG10" s="7">
        <v>1493</v>
      </c>
      <c r="AH10" s="7">
        <v>0</v>
      </c>
      <c r="AI10" s="7">
        <v>8344805</v>
      </c>
      <c r="AJ10" s="7">
        <v>8177943.9000000004</v>
      </c>
      <c r="AK10" s="7">
        <v>166861.1</v>
      </c>
      <c r="AL10" s="7">
        <v>7126800.7199999997</v>
      </c>
      <c r="AM10" s="7">
        <v>1216254.28</v>
      </c>
      <c r="AN10" s="7">
        <v>28136782.75</v>
      </c>
      <c r="AO10" s="7">
        <v>28151461.98</v>
      </c>
      <c r="AP10" s="7">
        <v>1310899.44</v>
      </c>
      <c r="AQ10" s="7">
        <v>33864</v>
      </c>
      <c r="AR10" s="7">
        <v>15522</v>
      </c>
      <c r="AS10" s="7">
        <v>7588</v>
      </c>
      <c r="AT10" s="7">
        <v>104.81</v>
      </c>
      <c r="AU10" s="7">
        <v>15180</v>
      </c>
      <c r="AV10" s="7">
        <v>24763.16</v>
      </c>
      <c r="AW10" s="7">
        <v>65824.899999999994</v>
      </c>
      <c r="AX10" s="7">
        <v>219327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27169</v>
      </c>
      <c r="BF10" s="7">
        <v>4606</v>
      </c>
      <c r="BG10" s="7">
        <v>15148</v>
      </c>
      <c r="BH10" s="7">
        <v>22988</v>
      </c>
      <c r="BI10" s="7">
        <v>9520</v>
      </c>
      <c r="BK10" s="7">
        <v>61990</v>
      </c>
      <c r="BL10" s="7">
        <v>11845</v>
      </c>
      <c r="BM10" s="7">
        <v>0</v>
      </c>
      <c r="BN10" s="7">
        <v>0</v>
      </c>
      <c r="BO10" s="7">
        <v>0</v>
      </c>
      <c r="BP10" s="7">
        <v>21110</v>
      </c>
      <c r="BQ10" s="7">
        <v>42</v>
      </c>
      <c r="BR10" s="7">
        <v>90172</v>
      </c>
      <c r="BS10" s="7">
        <v>0</v>
      </c>
      <c r="BT10" s="7">
        <v>0</v>
      </c>
      <c r="BU10" s="7">
        <v>94304</v>
      </c>
      <c r="BV10" s="7">
        <v>79449.72</v>
      </c>
      <c r="BW10" s="7">
        <v>0</v>
      </c>
      <c r="BX10" s="7">
        <v>0</v>
      </c>
      <c r="BY10" s="7">
        <v>44879</v>
      </c>
      <c r="BZ10" s="7">
        <v>1200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Q10" s="7">
        <v>0</v>
      </c>
      <c r="CR10" s="7">
        <v>0</v>
      </c>
      <c r="CS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</row>
    <row r="11" spans="1:106">
      <c r="A11" s="8">
        <v>45982</v>
      </c>
      <c r="B11" s="7">
        <v>1049</v>
      </c>
      <c r="C11" s="7">
        <v>473</v>
      </c>
      <c r="D11" s="7">
        <v>0</v>
      </c>
      <c r="E11" s="9">
        <v>42553</v>
      </c>
      <c r="F11" s="7">
        <v>56520</v>
      </c>
      <c r="G11" s="7">
        <v>3729052</v>
      </c>
      <c r="H11" s="7">
        <v>789512</v>
      </c>
      <c r="I11" s="7">
        <v>0</v>
      </c>
      <c r="J11" s="7">
        <v>3116368</v>
      </c>
      <c r="K11" s="9">
        <v>612684</v>
      </c>
      <c r="L11" s="7">
        <v>11161535.060000001</v>
      </c>
      <c r="M11" s="9">
        <v>40020129.969999999</v>
      </c>
      <c r="N11" s="7">
        <v>744248.22</v>
      </c>
      <c r="O11" s="7">
        <v>604</v>
      </c>
      <c r="P11" s="7">
        <v>264</v>
      </c>
      <c r="Q11" s="7">
        <v>0</v>
      </c>
      <c r="R11" s="7">
        <v>203745</v>
      </c>
      <c r="S11" s="7">
        <v>94145</v>
      </c>
      <c r="T11" s="7">
        <v>0</v>
      </c>
      <c r="U11" s="7">
        <v>0</v>
      </c>
      <c r="V11" s="7">
        <v>407</v>
      </c>
      <c r="W11" s="7">
        <v>113899</v>
      </c>
      <c r="X11" s="7">
        <v>366</v>
      </c>
      <c r="Y11" s="7">
        <v>103235</v>
      </c>
      <c r="Z11" s="7">
        <v>0</v>
      </c>
      <c r="AA11" s="7">
        <v>0</v>
      </c>
      <c r="AB11" s="7">
        <v>82973.47</v>
      </c>
      <c r="AC11" s="7">
        <v>0</v>
      </c>
      <c r="AD11" s="7">
        <v>0</v>
      </c>
      <c r="AE11" s="7">
        <v>53</v>
      </c>
      <c r="AF11" s="7">
        <v>6474</v>
      </c>
      <c r="AG11" s="7">
        <v>1594</v>
      </c>
      <c r="AH11" s="7">
        <v>0</v>
      </c>
      <c r="AI11" s="7">
        <v>10839932</v>
      </c>
      <c r="AJ11" s="7">
        <v>10623171.359999999</v>
      </c>
      <c r="AK11" s="7">
        <v>216760.64</v>
      </c>
      <c r="AL11" s="7">
        <v>10184310.109999999</v>
      </c>
      <c r="AM11" s="7">
        <v>659821.89</v>
      </c>
      <c r="AN11" s="7">
        <v>27634589.780000001</v>
      </c>
      <c r="AO11" s="7">
        <v>27908251.809999999</v>
      </c>
      <c r="AP11" s="7">
        <v>1271946.28</v>
      </c>
      <c r="AQ11" s="7">
        <v>32024</v>
      </c>
      <c r="AR11" s="7">
        <v>12620</v>
      </c>
      <c r="AS11" s="7">
        <v>7728</v>
      </c>
      <c r="AT11" s="7">
        <v>2145.37</v>
      </c>
      <c r="AU11" s="7">
        <v>15504</v>
      </c>
      <c r="AV11" s="7">
        <v>20779.349999999999</v>
      </c>
      <c r="AW11" s="7">
        <v>45846.63</v>
      </c>
      <c r="AX11" s="7">
        <v>15150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51554</v>
      </c>
      <c r="BF11" s="7">
        <v>4990</v>
      </c>
      <c r="BG11" s="7">
        <v>16933</v>
      </c>
      <c r="BH11" s="7">
        <v>29766</v>
      </c>
      <c r="BI11" s="7">
        <v>10470</v>
      </c>
      <c r="BK11" s="7">
        <v>66140</v>
      </c>
      <c r="BL11" s="7">
        <v>19151</v>
      </c>
      <c r="BM11" s="7">
        <v>0</v>
      </c>
      <c r="BN11" s="7">
        <v>0</v>
      </c>
      <c r="BO11" s="7">
        <v>0</v>
      </c>
      <c r="BP11" s="7">
        <v>21178</v>
      </c>
      <c r="BQ11" s="7">
        <v>0</v>
      </c>
      <c r="BR11" s="7">
        <v>92688</v>
      </c>
      <c r="BS11" s="7">
        <v>0</v>
      </c>
      <c r="BT11" s="7">
        <v>0</v>
      </c>
      <c r="BU11" s="7">
        <v>148877</v>
      </c>
      <c r="BV11" s="7">
        <v>68410.399999999994</v>
      </c>
      <c r="BW11" s="7">
        <v>0</v>
      </c>
      <c r="BX11" s="7">
        <v>0</v>
      </c>
      <c r="BY11" s="7">
        <v>44540</v>
      </c>
      <c r="BZ11" s="7">
        <v>1484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Q11" s="7">
        <v>0</v>
      </c>
      <c r="CR11" s="7">
        <v>0</v>
      </c>
      <c r="CS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</row>
    <row r="12" spans="1:106">
      <c r="A12" s="8">
        <v>45981</v>
      </c>
      <c r="B12" s="7">
        <v>969</v>
      </c>
      <c r="C12" s="7">
        <v>419</v>
      </c>
      <c r="D12" s="7">
        <v>0</v>
      </c>
      <c r="E12" s="9">
        <v>43318</v>
      </c>
      <c r="F12" s="7">
        <v>58518</v>
      </c>
      <c r="G12" s="7">
        <v>4308058</v>
      </c>
      <c r="H12" s="7">
        <v>892617</v>
      </c>
      <c r="I12" s="7">
        <v>0</v>
      </c>
      <c r="J12" s="7">
        <v>3835543</v>
      </c>
      <c r="K12" s="9">
        <v>472515</v>
      </c>
      <c r="L12" s="7">
        <v>11722332.65</v>
      </c>
      <c r="M12" s="9">
        <v>38548524.920000002</v>
      </c>
      <c r="N12" s="7">
        <v>1199569.1599999999</v>
      </c>
      <c r="O12" s="7">
        <v>633</v>
      </c>
      <c r="P12" s="7">
        <v>259</v>
      </c>
      <c r="Q12" s="7">
        <v>0</v>
      </c>
      <c r="R12" s="7">
        <v>185478</v>
      </c>
      <c r="S12" s="7">
        <v>89721</v>
      </c>
      <c r="T12" s="7">
        <v>0</v>
      </c>
      <c r="U12" s="7">
        <v>0</v>
      </c>
      <c r="V12" s="7">
        <v>559</v>
      </c>
      <c r="W12" s="7">
        <v>159391</v>
      </c>
      <c r="X12" s="7">
        <v>493</v>
      </c>
      <c r="Y12" s="7">
        <v>130082</v>
      </c>
      <c r="Z12" s="7">
        <v>0</v>
      </c>
      <c r="AA12" s="7">
        <v>0</v>
      </c>
      <c r="AB12" s="7">
        <v>85933.440000000002</v>
      </c>
      <c r="AC12" s="7">
        <v>0</v>
      </c>
      <c r="AD12" s="7">
        <v>0</v>
      </c>
      <c r="AE12" s="7">
        <v>66</v>
      </c>
      <c r="AF12" s="7">
        <v>8956</v>
      </c>
      <c r="AG12" s="7">
        <v>2124</v>
      </c>
      <c r="AH12" s="7">
        <v>0</v>
      </c>
      <c r="AI12" s="7">
        <v>6487960</v>
      </c>
      <c r="AJ12" s="7">
        <v>6358251.7999999998</v>
      </c>
      <c r="AK12" s="7">
        <v>129708.2</v>
      </c>
      <c r="AL12" s="7">
        <v>6084159.4900000002</v>
      </c>
      <c r="AM12" s="7">
        <v>426050.51</v>
      </c>
      <c r="AN12" s="7">
        <v>30555809.969999999</v>
      </c>
      <c r="AO12" s="7">
        <v>30940937.16</v>
      </c>
      <c r="AP12" s="7">
        <v>1119628.2</v>
      </c>
      <c r="AQ12" s="7">
        <v>30428</v>
      </c>
      <c r="AR12" s="7">
        <v>17774</v>
      </c>
      <c r="AS12" s="7">
        <v>9970</v>
      </c>
      <c r="AT12" s="7">
        <v>21.08</v>
      </c>
      <c r="AU12" s="7">
        <v>16170</v>
      </c>
      <c r="AV12" s="7">
        <v>19810.349999999999</v>
      </c>
      <c r="AW12" s="7">
        <v>43489</v>
      </c>
      <c r="AX12" s="7">
        <v>12778</v>
      </c>
      <c r="AY12" s="7">
        <v>0</v>
      </c>
      <c r="AZ12" s="7">
        <v>0</v>
      </c>
      <c r="BA12" s="7">
        <v>0</v>
      </c>
      <c r="BB12" s="7">
        <v>0</v>
      </c>
      <c r="BC12" s="7">
        <v>140.07</v>
      </c>
      <c r="BD12" s="7">
        <v>0</v>
      </c>
      <c r="BE12" s="7">
        <v>46197</v>
      </c>
      <c r="BF12" s="7">
        <v>5662</v>
      </c>
      <c r="BG12" s="7">
        <v>17312</v>
      </c>
      <c r="BH12" s="7">
        <v>49572</v>
      </c>
      <c r="BI12" s="7">
        <v>15010</v>
      </c>
      <c r="BK12" s="7">
        <v>68900</v>
      </c>
      <c r="BL12" s="7">
        <v>22482</v>
      </c>
      <c r="BM12" s="7">
        <v>0</v>
      </c>
      <c r="BN12" s="7">
        <v>0</v>
      </c>
      <c r="BO12" s="7">
        <v>0</v>
      </c>
      <c r="BP12" s="7">
        <v>25510</v>
      </c>
      <c r="BQ12" s="7">
        <v>340482</v>
      </c>
      <c r="BR12" s="7">
        <v>82000</v>
      </c>
      <c r="BS12" s="7">
        <v>0</v>
      </c>
      <c r="BT12" s="7">
        <v>0</v>
      </c>
      <c r="BU12" s="7">
        <v>222937</v>
      </c>
      <c r="BV12" s="7">
        <v>74544.22</v>
      </c>
      <c r="BW12" s="7">
        <v>0</v>
      </c>
      <c r="BX12" s="7">
        <v>0</v>
      </c>
      <c r="BY12" s="7">
        <v>50092</v>
      </c>
      <c r="BZ12" s="7">
        <v>1330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Q12" s="7">
        <v>0</v>
      </c>
      <c r="CR12" s="7">
        <v>0</v>
      </c>
      <c r="CS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</row>
    <row r="13" spans="1:106">
      <c r="A13" s="8">
        <v>45980</v>
      </c>
      <c r="B13" s="7">
        <v>1006</v>
      </c>
      <c r="C13" s="7">
        <v>464</v>
      </c>
      <c r="D13" s="7">
        <v>0</v>
      </c>
      <c r="E13" s="9">
        <v>47133</v>
      </c>
      <c r="F13" s="7">
        <v>59595</v>
      </c>
      <c r="G13" s="7">
        <v>3808805</v>
      </c>
      <c r="H13" s="7">
        <v>766119</v>
      </c>
      <c r="I13" s="7">
        <v>0</v>
      </c>
      <c r="J13" s="7">
        <v>3517349</v>
      </c>
      <c r="K13" s="9">
        <v>291456</v>
      </c>
      <c r="L13" s="7">
        <v>10934498.58</v>
      </c>
      <c r="M13" s="9">
        <v>36574433.939999998</v>
      </c>
      <c r="N13" s="7">
        <v>987601.72</v>
      </c>
      <c r="O13" s="7">
        <v>574</v>
      </c>
      <c r="P13" s="7">
        <v>239</v>
      </c>
      <c r="Q13" s="7">
        <v>0</v>
      </c>
      <c r="R13" s="7">
        <v>181652</v>
      </c>
      <c r="S13" s="7">
        <v>79905</v>
      </c>
      <c r="T13" s="7">
        <v>0</v>
      </c>
      <c r="U13" s="7">
        <v>0</v>
      </c>
      <c r="V13" s="7">
        <v>480</v>
      </c>
      <c r="W13" s="7">
        <v>197395</v>
      </c>
      <c r="X13" s="7">
        <v>404</v>
      </c>
      <c r="Y13" s="7">
        <v>145048</v>
      </c>
      <c r="Z13" s="7">
        <v>0</v>
      </c>
      <c r="AA13" s="7">
        <v>0</v>
      </c>
      <c r="AB13" s="7">
        <v>55205.7</v>
      </c>
      <c r="AC13" s="7">
        <v>0</v>
      </c>
      <c r="AD13" s="7">
        <v>0</v>
      </c>
      <c r="AE13" s="7">
        <v>86</v>
      </c>
      <c r="AF13" s="7">
        <v>6643</v>
      </c>
      <c r="AG13" s="7">
        <v>1542</v>
      </c>
      <c r="AH13" s="7">
        <v>0</v>
      </c>
      <c r="AI13" s="7">
        <v>6557299</v>
      </c>
      <c r="AJ13" s="7">
        <v>6426890.0199999996</v>
      </c>
      <c r="AK13" s="7">
        <v>130408.98</v>
      </c>
      <c r="AL13" s="7">
        <v>6068492.2300000004</v>
      </c>
      <c r="AM13" s="7">
        <v>462406.77</v>
      </c>
      <c r="AN13" s="7">
        <v>28804962.239999998</v>
      </c>
      <c r="AO13" s="7">
        <v>28807807.02</v>
      </c>
      <c r="AP13" s="7">
        <v>1209328.18</v>
      </c>
      <c r="AQ13" s="7">
        <v>28964</v>
      </c>
      <c r="AR13" s="7">
        <v>18870</v>
      </c>
      <c r="AS13" s="7">
        <v>10080</v>
      </c>
      <c r="AT13" s="7">
        <v>5.96</v>
      </c>
      <c r="AU13" s="7">
        <v>15654</v>
      </c>
      <c r="AV13" s="7">
        <v>17794.45</v>
      </c>
      <c r="AW13" s="7">
        <v>35224.69</v>
      </c>
      <c r="AX13" s="7">
        <v>11657</v>
      </c>
      <c r="AY13" s="7">
        <v>0</v>
      </c>
      <c r="AZ13" s="7">
        <v>0</v>
      </c>
      <c r="BA13" s="7">
        <v>0</v>
      </c>
      <c r="BB13" s="7">
        <v>0</v>
      </c>
      <c r="BC13" s="7">
        <v>36</v>
      </c>
      <c r="BD13" s="7">
        <v>0</v>
      </c>
      <c r="BE13" s="7">
        <v>76642</v>
      </c>
      <c r="BF13" s="7">
        <v>4512</v>
      </c>
      <c r="BG13" s="7">
        <v>16016</v>
      </c>
      <c r="BH13" s="7">
        <v>47870</v>
      </c>
      <c r="BI13" s="7">
        <v>12000</v>
      </c>
      <c r="BK13" s="7">
        <v>64020</v>
      </c>
      <c r="BL13" s="7">
        <v>28814</v>
      </c>
      <c r="BM13" s="7">
        <v>0</v>
      </c>
      <c r="BN13" s="7">
        <v>0</v>
      </c>
      <c r="BO13" s="7">
        <v>0</v>
      </c>
      <c r="BP13" s="7">
        <v>23412</v>
      </c>
      <c r="BQ13" s="7">
        <v>58</v>
      </c>
      <c r="BR13" s="7">
        <v>88688</v>
      </c>
      <c r="BS13" s="7">
        <v>0</v>
      </c>
      <c r="BT13" s="7">
        <v>0</v>
      </c>
      <c r="BU13" s="7">
        <v>394395</v>
      </c>
      <c r="BV13" s="7">
        <v>80177.919999999998</v>
      </c>
      <c r="BW13" s="7">
        <v>0</v>
      </c>
      <c r="BX13" s="7">
        <v>0</v>
      </c>
      <c r="BY13" s="7">
        <v>44304</v>
      </c>
      <c r="BZ13" s="7">
        <v>1464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Q13" s="7">
        <v>0</v>
      </c>
      <c r="CR13" s="7">
        <v>0</v>
      </c>
      <c r="CS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</row>
    <row r="14" spans="1:106">
      <c r="A14" s="8">
        <v>45979</v>
      </c>
      <c r="B14" s="7">
        <v>843</v>
      </c>
      <c r="C14" s="7">
        <v>386</v>
      </c>
      <c r="D14" s="7">
        <v>0</v>
      </c>
      <c r="E14" s="9">
        <v>45447</v>
      </c>
      <c r="F14" s="7">
        <v>58379</v>
      </c>
      <c r="G14" s="7">
        <v>3572924</v>
      </c>
      <c r="H14" s="7">
        <v>705218</v>
      </c>
      <c r="I14" s="7">
        <v>0</v>
      </c>
      <c r="J14" s="7">
        <v>3055125</v>
      </c>
      <c r="K14" s="9">
        <v>517799</v>
      </c>
      <c r="L14" s="7">
        <v>10727569.74</v>
      </c>
      <c r="M14" s="9">
        <v>32995889.23</v>
      </c>
      <c r="N14" s="7">
        <v>978665.29</v>
      </c>
      <c r="O14" s="7">
        <v>511</v>
      </c>
      <c r="P14" s="7">
        <v>209</v>
      </c>
      <c r="Q14" s="7">
        <v>0</v>
      </c>
      <c r="R14" s="7">
        <v>196319</v>
      </c>
      <c r="S14" s="7">
        <v>78112</v>
      </c>
      <c r="T14" s="7">
        <v>0</v>
      </c>
      <c r="U14" s="7">
        <v>0</v>
      </c>
      <c r="V14" s="7">
        <v>415</v>
      </c>
      <c r="W14" s="7">
        <v>130960</v>
      </c>
      <c r="X14" s="7">
        <v>369</v>
      </c>
      <c r="Y14" s="7">
        <v>104750</v>
      </c>
      <c r="Z14" s="7">
        <v>0</v>
      </c>
      <c r="AA14" s="7">
        <v>0</v>
      </c>
      <c r="AB14" s="7">
        <v>80435.789999999994</v>
      </c>
      <c r="AC14" s="7">
        <v>0</v>
      </c>
      <c r="AD14" s="7">
        <v>0</v>
      </c>
      <c r="AE14" s="7">
        <v>41</v>
      </c>
      <c r="AF14" s="7">
        <v>6424</v>
      </c>
      <c r="AG14" s="7">
        <v>1509</v>
      </c>
      <c r="AH14" s="7">
        <v>0</v>
      </c>
      <c r="AI14" s="7">
        <v>5495535</v>
      </c>
      <c r="AJ14" s="7">
        <v>5385834.2999999998</v>
      </c>
      <c r="AK14" s="7">
        <v>109700.7</v>
      </c>
      <c r="AL14" s="7">
        <v>6697394.7599999998</v>
      </c>
      <c r="AM14" s="7" t="s">
        <v>107</v>
      </c>
      <c r="AN14" s="7">
        <v>26563447.199999999</v>
      </c>
      <c r="AO14" s="7">
        <v>25991375.800000001</v>
      </c>
      <c r="AP14" s="7">
        <v>1508978.68</v>
      </c>
      <c r="AQ14" s="7">
        <v>30566</v>
      </c>
      <c r="AR14" s="7">
        <v>14770</v>
      </c>
      <c r="AS14" s="7">
        <v>7882</v>
      </c>
      <c r="AT14" s="7">
        <v>12.4</v>
      </c>
      <c r="AU14" s="7">
        <v>14730</v>
      </c>
      <c r="AV14" s="7">
        <v>20450.97</v>
      </c>
      <c r="AW14" s="7">
        <v>41797.269999999997</v>
      </c>
      <c r="AX14" s="7">
        <v>216269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26173</v>
      </c>
      <c r="BF14" s="7">
        <v>5052</v>
      </c>
      <c r="BG14" s="7">
        <v>16480</v>
      </c>
      <c r="BH14" s="7">
        <v>58006</v>
      </c>
      <c r="BI14" s="7">
        <v>11980</v>
      </c>
      <c r="BK14" s="7">
        <v>53490</v>
      </c>
      <c r="BL14" s="7">
        <v>31467</v>
      </c>
      <c r="BM14" s="7">
        <v>0</v>
      </c>
      <c r="BN14" s="7">
        <v>0</v>
      </c>
      <c r="BO14" s="7">
        <v>0</v>
      </c>
      <c r="BP14" s="7">
        <v>22018</v>
      </c>
      <c r="BQ14" s="7">
        <v>16</v>
      </c>
      <c r="BR14" s="7">
        <v>78688</v>
      </c>
      <c r="BS14" s="7">
        <v>0</v>
      </c>
      <c r="BT14" s="7">
        <v>0</v>
      </c>
      <c r="BU14" s="7">
        <v>370477</v>
      </c>
      <c r="BV14" s="7">
        <v>77296.86</v>
      </c>
      <c r="BW14" s="7">
        <v>0</v>
      </c>
      <c r="BX14" s="7">
        <v>0</v>
      </c>
      <c r="BY14" s="7">
        <v>41854</v>
      </c>
      <c r="BZ14" s="7">
        <v>1196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Q14" s="7">
        <v>0</v>
      </c>
      <c r="CR14" s="7">
        <v>0</v>
      </c>
      <c r="CS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</row>
    <row r="15" spans="1:106">
      <c r="A15" s="8">
        <v>45978</v>
      </c>
      <c r="B15" s="7">
        <v>1431</v>
      </c>
      <c r="C15" s="7">
        <v>526</v>
      </c>
      <c r="D15" s="7">
        <v>0</v>
      </c>
      <c r="E15" s="9">
        <v>43058</v>
      </c>
      <c r="F15" s="7">
        <v>56586</v>
      </c>
      <c r="G15" s="7">
        <v>4405653</v>
      </c>
      <c r="H15" s="7">
        <v>841549</v>
      </c>
      <c r="I15" s="7">
        <v>0</v>
      </c>
      <c r="J15" s="7">
        <v>3543742</v>
      </c>
      <c r="K15" s="9">
        <v>861911</v>
      </c>
      <c r="L15" s="7">
        <v>10782459.92</v>
      </c>
      <c r="M15" s="9">
        <v>39511926.560000002</v>
      </c>
      <c r="N15" s="7">
        <v>999266.66</v>
      </c>
      <c r="O15" s="7">
        <v>809</v>
      </c>
      <c r="P15" s="7">
        <v>281</v>
      </c>
      <c r="Q15" s="7">
        <v>0</v>
      </c>
      <c r="R15" s="7">
        <v>259032</v>
      </c>
      <c r="S15" s="7">
        <v>93505</v>
      </c>
      <c r="T15" s="7">
        <v>0</v>
      </c>
      <c r="U15" s="7">
        <v>0</v>
      </c>
      <c r="V15" s="7">
        <v>567</v>
      </c>
      <c r="W15" s="7">
        <v>149004</v>
      </c>
      <c r="X15" s="7">
        <v>418</v>
      </c>
      <c r="Y15" s="7">
        <v>171404</v>
      </c>
      <c r="Z15" s="7">
        <v>0</v>
      </c>
      <c r="AA15" s="7">
        <v>0</v>
      </c>
      <c r="AB15" s="7">
        <v>98696.69</v>
      </c>
      <c r="AC15" s="7">
        <v>0</v>
      </c>
      <c r="AD15" s="7">
        <v>0</v>
      </c>
      <c r="AE15" s="7">
        <v>32</v>
      </c>
      <c r="AF15" s="7">
        <v>7521</v>
      </c>
      <c r="AG15" s="7">
        <v>1732</v>
      </c>
      <c r="AH15" s="7">
        <v>0</v>
      </c>
      <c r="AI15" s="7">
        <v>6577981</v>
      </c>
      <c r="AJ15" s="7">
        <v>6446634.3799999999</v>
      </c>
      <c r="AK15" s="7">
        <v>131346.62</v>
      </c>
      <c r="AL15" s="7">
        <v>6176265.5</v>
      </c>
      <c r="AM15" s="7">
        <v>392715.5</v>
      </c>
      <c r="AN15" s="7">
        <v>31776044.960000001</v>
      </c>
      <c r="AO15" s="7">
        <v>31613340.739999998</v>
      </c>
      <c r="AP15" s="7">
        <v>1320605.03</v>
      </c>
      <c r="AQ15" s="7">
        <v>40966</v>
      </c>
      <c r="AR15" s="7">
        <v>17360</v>
      </c>
      <c r="AS15" s="7">
        <v>11798</v>
      </c>
      <c r="AT15" s="7">
        <v>8.77</v>
      </c>
      <c r="AU15" s="7">
        <v>16236</v>
      </c>
      <c r="AV15" s="7">
        <v>20543.439999999999</v>
      </c>
      <c r="AW15" s="7">
        <v>46109.63</v>
      </c>
      <c r="AX15" s="7">
        <v>14988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50955</v>
      </c>
      <c r="BF15" s="7">
        <v>6300</v>
      </c>
      <c r="BG15" s="7">
        <v>18891</v>
      </c>
      <c r="BH15" s="7">
        <v>118744</v>
      </c>
      <c r="BI15" s="7">
        <v>16190</v>
      </c>
      <c r="BK15" s="7">
        <v>66330</v>
      </c>
      <c r="BL15" s="7">
        <v>22444</v>
      </c>
      <c r="BM15" s="7">
        <v>0</v>
      </c>
      <c r="BN15" s="7">
        <v>0</v>
      </c>
      <c r="BO15" s="7">
        <v>0</v>
      </c>
      <c r="BP15" s="7">
        <v>24676</v>
      </c>
      <c r="BQ15" s="7">
        <v>0</v>
      </c>
      <c r="BR15" s="7">
        <v>98688</v>
      </c>
      <c r="BS15" s="7">
        <v>0</v>
      </c>
      <c r="BT15" s="7">
        <v>0</v>
      </c>
      <c r="BU15" s="7">
        <v>238031</v>
      </c>
      <c r="BV15" s="7">
        <v>82477.13</v>
      </c>
      <c r="BW15" s="7">
        <v>0</v>
      </c>
      <c r="BX15" s="7">
        <v>0</v>
      </c>
      <c r="BY15" s="7">
        <v>52645</v>
      </c>
      <c r="BZ15" s="7">
        <v>2132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Q15" s="7">
        <v>0</v>
      </c>
      <c r="CR15" s="7">
        <v>0</v>
      </c>
      <c r="CS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</row>
    <row r="16" spans="1:106">
      <c r="A16" s="8">
        <v>45977</v>
      </c>
      <c r="B16" s="7">
        <v>1666</v>
      </c>
      <c r="C16" s="7">
        <v>605</v>
      </c>
      <c r="D16" s="7">
        <v>0</v>
      </c>
      <c r="E16" s="9">
        <v>45065</v>
      </c>
      <c r="F16" s="7">
        <v>58662</v>
      </c>
      <c r="G16" s="7">
        <v>4467743</v>
      </c>
      <c r="H16" s="7">
        <v>990078</v>
      </c>
      <c r="I16" s="7">
        <v>0</v>
      </c>
      <c r="J16" s="7">
        <v>3768956</v>
      </c>
      <c r="K16" s="9">
        <v>698787</v>
      </c>
      <c r="L16" s="7">
        <v>10690703.689999999</v>
      </c>
      <c r="M16" s="9">
        <v>40045969.140000001</v>
      </c>
      <c r="N16" s="7">
        <v>1173044.07</v>
      </c>
      <c r="O16" s="7">
        <v>909</v>
      </c>
      <c r="P16" s="7">
        <v>294</v>
      </c>
      <c r="Q16" s="7">
        <v>0</v>
      </c>
      <c r="R16" s="7">
        <v>267635</v>
      </c>
      <c r="S16" s="7">
        <v>110755</v>
      </c>
      <c r="T16" s="7">
        <v>0</v>
      </c>
      <c r="U16" s="7">
        <v>0</v>
      </c>
      <c r="V16" s="7">
        <v>638</v>
      </c>
      <c r="W16" s="7">
        <v>245987</v>
      </c>
      <c r="X16" s="7">
        <v>532</v>
      </c>
      <c r="Y16" s="7">
        <v>165379</v>
      </c>
      <c r="Z16" s="7">
        <v>0</v>
      </c>
      <c r="AA16" s="7">
        <v>0</v>
      </c>
      <c r="AB16" s="7">
        <v>97550.46</v>
      </c>
      <c r="AC16" s="7">
        <v>0</v>
      </c>
      <c r="AD16" s="7">
        <v>0</v>
      </c>
      <c r="AE16" s="7">
        <v>102</v>
      </c>
      <c r="AF16" s="7">
        <v>7442</v>
      </c>
      <c r="AG16" s="7">
        <v>1752</v>
      </c>
      <c r="AH16" s="7">
        <v>0</v>
      </c>
      <c r="AI16" s="7">
        <v>6712117</v>
      </c>
      <c r="AJ16" s="7">
        <v>6577946.6600000001</v>
      </c>
      <c r="AK16" s="7">
        <v>134170.34</v>
      </c>
      <c r="AL16" s="7">
        <v>6260053.6200000001</v>
      </c>
      <c r="AM16" s="7">
        <v>451463.38</v>
      </c>
      <c r="AN16" s="7">
        <v>32204728.780000001</v>
      </c>
      <c r="AO16" s="7">
        <v>32031289.18</v>
      </c>
      <c r="AP16" s="7">
        <v>1302563.46</v>
      </c>
      <c r="AQ16" s="7">
        <v>43796</v>
      </c>
      <c r="AR16" s="7">
        <v>24438</v>
      </c>
      <c r="AS16" s="7">
        <v>12392</v>
      </c>
      <c r="AT16" s="7">
        <v>478</v>
      </c>
      <c r="AU16" s="7">
        <v>16350</v>
      </c>
      <c r="AV16" s="7">
        <v>23801.09</v>
      </c>
      <c r="AW16" s="7">
        <v>46930.69</v>
      </c>
      <c r="AX16" s="7">
        <v>16026</v>
      </c>
      <c r="AY16" s="7">
        <v>0</v>
      </c>
      <c r="AZ16" s="7">
        <v>0</v>
      </c>
      <c r="BA16" s="7">
        <v>946</v>
      </c>
      <c r="BB16" s="7">
        <v>0</v>
      </c>
      <c r="BC16" s="7">
        <v>3691.38</v>
      </c>
      <c r="BD16" s="7">
        <v>1343</v>
      </c>
      <c r="BE16" s="7">
        <v>40971</v>
      </c>
      <c r="BF16" s="7">
        <v>6618</v>
      </c>
      <c r="BG16" s="7">
        <v>19139</v>
      </c>
      <c r="BH16" s="7">
        <v>27690</v>
      </c>
      <c r="BI16" s="7">
        <v>17530</v>
      </c>
      <c r="BK16" s="7">
        <v>68080</v>
      </c>
      <c r="BL16" s="7">
        <v>44288</v>
      </c>
      <c r="BM16" s="7">
        <v>0</v>
      </c>
      <c r="BN16" s="7">
        <v>0</v>
      </c>
      <c r="BO16" s="7">
        <v>0</v>
      </c>
      <c r="BP16" s="7">
        <v>24862</v>
      </c>
      <c r="BQ16" s="7">
        <v>0</v>
      </c>
      <c r="BR16" s="7">
        <v>102188</v>
      </c>
      <c r="BS16" s="7">
        <v>0</v>
      </c>
      <c r="BT16" s="7">
        <v>0</v>
      </c>
      <c r="BU16" s="7">
        <v>466344</v>
      </c>
      <c r="BV16" s="7">
        <v>74649.45</v>
      </c>
      <c r="BW16" s="7">
        <v>0</v>
      </c>
      <c r="BX16" s="7">
        <v>0</v>
      </c>
      <c r="BY16" s="7">
        <v>51661</v>
      </c>
      <c r="BZ16" s="7">
        <v>1910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Q16" s="7">
        <v>0</v>
      </c>
      <c r="CR16" s="7">
        <v>0</v>
      </c>
      <c r="CS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</row>
    <row r="17" spans="1:106">
      <c r="A17" s="8">
        <v>45976</v>
      </c>
      <c r="B17" s="7">
        <v>1439</v>
      </c>
      <c r="C17" s="7">
        <v>547</v>
      </c>
      <c r="D17" s="7">
        <v>0</v>
      </c>
      <c r="E17" s="9">
        <v>45516</v>
      </c>
      <c r="F17" s="7">
        <v>58824</v>
      </c>
      <c r="G17" s="7">
        <v>4334406</v>
      </c>
      <c r="H17" s="7">
        <v>859425</v>
      </c>
      <c r="I17" s="7">
        <v>0</v>
      </c>
      <c r="J17" s="7">
        <v>3924027</v>
      </c>
      <c r="K17" s="9">
        <v>410379</v>
      </c>
      <c r="L17" s="7">
        <v>10399777.18</v>
      </c>
      <c r="M17" s="9">
        <v>42265085.299999997</v>
      </c>
      <c r="N17" s="7">
        <v>1257733.26</v>
      </c>
      <c r="O17" s="7">
        <v>862</v>
      </c>
      <c r="P17" s="7">
        <v>312</v>
      </c>
      <c r="Q17" s="7">
        <v>0</v>
      </c>
      <c r="R17" s="7">
        <v>364754</v>
      </c>
      <c r="S17" s="7">
        <v>117092</v>
      </c>
      <c r="T17" s="7">
        <v>0</v>
      </c>
      <c r="U17" s="7">
        <v>0</v>
      </c>
      <c r="V17" s="7">
        <v>595</v>
      </c>
      <c r="W17" s="7">
        <v>191951</v>
      </c>
      <c r="X17" s="7">
        <v>476</v>
      </c>
      <c r="Y17" s="7">
        <v>151898</v>
      </c>
      <c r="Z17" s="7">
        <v>0</v>
      </c>
      <c r="AA17" s="7">
        <v>0</v>
      </c>
      <c r="AB17" s="7">
        <v>94515.32</v>
      </c>
      <c r="AC17" s="7">
        <v>0</v>
      </c>
      <c r="AD17" s="7">
        <v>0</v>
      </c>
      <c r="AE17" s="7">
        <v>146</v>
      </c>
      <c r="AF17" s="7">
        <v>6998</v>
      </c>
      <c r="AG17" s="7">
        <v>1629</v>
      </c>
      <c r="AH17" s="7">
        <v>0</v>
      </c>
      <c r="AI17" s="7">
        <v>5992954</v>
      </c>
      <c r="AJ17" s="7">
        <v>5873141.9199999999</v>
      </c>
      <c r="AK17" s="7">
        <v>119812.08</v>
      </c>
      <c r="AL17" s="7">
        <v>5633092.4100000001</v>
      </c>
      <c r="AM17" s="7">
        <v>358961.59</v>
      </c>
      <c r="AN17" s="7">
        <v>35020994.579999998</v>
      </c>
      <c r="AO17" s="7">
        <v>34929341.240000002</v>
      </c>
      <c r="AP17" s="7">
        <v>1342790.36</v>
      </c>
      <c r="AQ17" s="7">
        <v>53810</v>
      </c>
      <c r="AR17" s="7">
        <v>20770</v>
      </c>
      <c r="AS17" s="7">
        <v>10888</v>
      </c>
      <c r="AT17" s="7">
        <v>18.690000000000001</v>
      </c>
      <c r="AU17" s="7">
        <v>14670</v>
      </c>
      <c r="AV17" s="7">
        <v>18893.669999999998</v>
      </c>
      <c r="AW17" s="7">
        <v>39787.870000000003</v>
      </c>
      <c r="AX17" s="7">
        <v>15581</v>
      </c>
      <c r="AY17" s="7">
        <v>0</v>
      </c>
      <c r="AZ17" s="7">
        <v>0</v>
      </c>
      <c r="BA17" s="7">
        <v>0</v>
      </c>
      <c r="BB17" s="7">
        <v>0</v>
      </c>
      <c r="BC17" s="7">
        <v>387.53</v>
      </c>
      <c r="BD17" s="7">
        <v>0</v>
      </c>
      <c r="BE17" s="7">
        <v>162567</v>
      </c>
      <c r="BF17" s="7">
        <v>7432</v>
      </c>
      <c r="BG17" s="7">
        <v>20000</v>
      </c>
      <c r="BH17" s="7">
        <v>26112</v>
      </c>
      <c r="BI17" s="7">
        <v>18530</v>
      </c>
      <c r="BK17" s="7">
        <v>65860</v>
      </c>
      <c r="BL17" s="7">
        <v>18055</v>
      </c>
      <c r="BM17" s="7">
        <v>0</v>
      </c>
      <c r="BN17" s="7">
        <v>0</v>
      </c>
      <c r="BO17" s="7">
        <v>0</v>
      </c>
      <c r="BP17" s="7">
        <v>24320</v>
      </c>
      <c r="BQ17" s="7">
        <v>104</v>
      </c>
      <c r="BR17" s="7">
        <v>101876</v>
      </c>
      <c r="BS17" s="7">
        <v>0</v>
      </c>
      <c r="BT17" s="7">
        <v>0</v>
      </c>
      <c r="BU17" s="7">
        <v>597562</v>
      </c>
      <c r="BV17" s="7">
        <v>75578.179999999993</v>
      </c>
      <c r="BW17" s="7">
        <v>0</v>
      </c>
      <c r="BX17" s="7">
        <v>0</v>
      </c>
      <c r="BY17" s="7">
        <v>47183</v>
      </c>
      <c r="BZ17" s="7">
        <v>1380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Q17" s="7">
        <v>0</v>
      </c>
      <c r="CR17" s="7">
        <v>0</v>
      </c>
      <c r="CS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</row>
    <row r="18" spans="1:106">
      <c r="A18" s="8">
        <v>45975</v>
      </c>
      <c r="B18" s="7">
        <v>1422</v>
      </c>
      <c r="C18" s="7">
        <v>486</v>
      </c>
      <c r="D18" s="7">
        <v>0</v>
      </c>
      <c r="E18" s="9">
        <v>39766</v>
      </c>
      <c r="F18" s="7">
        <v>52609</v>
      </c>
      <c r="G18" s="7">
        <v>4309582</v>
      </c>
      <c r="H18" s="7">
        <v>813435</v>
      </c>
      <c r="I18" s="7">
        <v>0</v>
      </c>
      <c r="J18" s="7">
        <v>3100139</v>
      </c>
      <c r="K18" s="9">
        <v>1209443</v>
      </c>
      <c r="L18" s="7">
        <v>10274252.439999999</v>
      </c>
      <c r="M18" s="9">
        <v>35039320.590000004</v>
      </c>
      <c r="N18" s="7">
        <v>745968.83</v>
      </c>
      <c r="O18" s="7">
        <v>876</v>
      </c>
      <c r="P18" s="7">
        <v>271</v>
      </c>
      <c r="Q18" s="7">
        <v>0</v>
      </c>
      <c r="R18" s="7">
        <v>309528</v>
      </c>
      <c r="S18" s="7">
        <v>93361</v>
      </c>
      <c r="T18" s="7">
        <v>0</v>
      </c>
      <c r="U18" s="7">
        <v>0</v>
      </c>
      <c r="V18" s="7">
        <v>581</v>
      </c>
      <c r="W18" s="7">
        <v>210128</v>
      </c>
      <c r="X18" s="7">
        <v>479</v>
      </c>
      <c r="Y18" s="7">
        <v>202310</v>
      </c>
      <c r="Z18" s="7">
        <v>0</v>
      </c>
      <c r="AA18" s="7">
        <v>0</v>
      </c>
      <c r="AB18" s="7">
        <v>91730.09</v>
      </c>
      <c r="AC18" s="7">
        <v>0</v>
      </c>
      <c r="AD18" s="7">
        <v>0</v>
      </c>
      <c r="AE18" s="7">
        <v>37</v>
      </c>
      <c r="AF18" s="7">
        <v>6794</v>
      </c>
      <c r="AG18" s="7">
        <v>1471</v>
      </c>
      <c r="AH18" s="7">
        <v>0</v>
      </c>
      <c r="AI18" s="7">
        <v>6075042</v>
      </c>
      <c r="AJ18" s="7">
        <v>5953592.1600000001</v>
      </c>
      <c r="AK18" s="7">
        <v>121449.84</v>
      </c>
      <c r="AL18" s="7">
        <v>5637041.0800000001</v>
      </c>
      <c r="AM18" s="7">
        <v>438650.92</v>
      </c>
      <c r="AN18" s="7">
        <v>27863710.670000002</v>
      </c>
      <c r="AO18" s="7">
        <v>27623105.399999999</v>
      </c>
      <c r="AP18" s="7">
        <v>1341173.48</v>
      </c>
      <c r="AQ18" s="7">
        <v>48520</v>
      </c>
      <c r="AR18" s="7">
        <v>20666</v>
      </c>
      <c r="AS18" s="7">
        <v>13762</v>
      </c>
      <c r="AT18" s="7">
        <v>13.79</v>
      </c>
      <c r="AU18" s="7">
        <v>13698</v>
      </c>
      <c r="AV18" s="7">
        <v>23130.14</v>
      </c>
      <c r="AW18" s="7">
        <v>43308.19</v>
      </c>
      <c r="AX18" s="7">
        <v>15531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47915</v>
      </c>
      <c r="BF18" s="7">
        <v>7320</v>
      </c>
      <c r="BG18" s="7">
        <v>17663</v>
      </c>
      <c r="BH18" s="7">
        <v>26554</v>
      </c>
      <c r="BI18" s="7">
        <v>17870</v>
      </c>
      <c r="BK18" s="7">
        <v>67520</v>
      </c>
      <c r="BL18" s="7">
        <v>15736</v>
      </c>
      <c r="BM18" s="7">
        <v>0</v>
      </c>
      <c r="BN18" s="7">
        <v>0</v>
      </c>
      <c r="BO18" s="7">
        <v>0</v>
      </c>
      <c r="BP18" s="7">
        <v>20770</v>
      </c>
      <c r="BQ18" s="7">
        <v>0</v>
      </c>
      <c r="BR18" s="7">
        <v>86774</v>
      </c>
      <c r="BS18" s="7">
        <v>0</v>
      </c>
      <c r="BT18" s="7">
        <v>0</v>
      </c>
      <c r="BU18" s="7">
        <v>97210</v>
      </c>
      <c r="BV18" s="7">
        <v>86059.62</v>
      </c>
      <c r="BW18" s="7">
        <v>0</v>
      </c>
      <c r="BX18" s="7">
        <v>0</v>
      </c>
      <c r="BY18" s="7">
        <v>45898</v>
      </c>
      <c r="BZ18" s="7">
        <v>1766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Q18" s="7">
        <v>0</v>
      </c>
      <c r="CR18" s="7">
        <v>0</v>
      </c>
      <c r="CS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</row>
    <row r="19" spans="1:106">
      <c r="A19" s="8">
        <v>45974</v>
      </c>
      <c r="B19" s="7">
        <v>1395</v>
      </c>
      <c r="C19" s="7">
        <v>532</v>
      </c>
      <c r="D19" s="7">
        <v>0</v>
      </c>
      <c r="E19" s="9">
        <v>41512</v>
      </c>
      <c r="F19" s="7">
        <v>56254</v>
      </c>
      <c r="G19" s="7">
        <v>4388647</v>
      </c>
      <c r="H19" s="7">
        <v>755646</v>
      </c>
      <c r="I19" s="7">
        <v>0</v>
      </c>
      <c r="J19" s="7">
        <v>3884659</v>
      </c>
      <c r="K19" s="9">
        <v>503988</v>
      </c>
      <c r="L19" s="7">
        <v>10355279.27</v>
      </c>
      <c r="M19" s="9">
        <v>42013994.659999996</v>
      </c>
      <c r="N19" s="7">
        <v>1112989.75</v>
      </c>
      <c r="O19" s="7">
        <v>750</v>
      </c>
      <c r="P19" s="7">
        <v>246</v>
      </c>
      <c r="Q19" s="7">
        <v>0</v>
      </c>
      <c r="R19" s="7">
        <v>259136</v>
      </c>
      <c r="S19" s="7">
        <v>80959</v>
      </c>
      <c r="T19" s="7">
        <v>0</v>
      </c>
      <c r="U19" s="7">
        <v>0</v>
      </c>
      <c r="V19" s="7">
        <v>579</v>
      </c>
      <c r="W19" s="7">
        <v>163036</v>
      </c>
      <c r="X19" s="7">
        <v>505</v>
      </c>
      <c r="Y19" s="7">
        <v>122285</v>
      </c>
      <c r="Z19" s="7">
        <v>0</v>
      </c>
      <c r="AA19" s="7">
        <v>0</v>
      </c>
      <c r="AB19" s="7">
        <v>100583.32</v>
      </c>
      <c r="AC19" s="7">
        <v>0</v>
      </c>
      <c r="AD19" s="7">
        <v>0</v>
      </c>
      <c r="AE19" s="7">
        <v>51</v>
      </c>
      <c r="AF19" s="7">
        <v>8613</v>
      </c>
      <c r="AG19" s="7">
        <v>1930</v>
      </c>
      <c r="AH19" s="7">
        <v>0</v>
      </c>
      <c r="AI19" s="7">
        <v>6227627</v>
      </c>
      <c r="AJ19" s="7">
        <v>6103131.46</v>
      </c>
      <c r="AK19" s="7">
        <v>124495.54</v>
      </c>
      <c r="AL19" s="7">
        <v>5769984.25</v>
      </c>
      <c r="AM19" s="7">
        <v>457192.75</v>
      </c>
      <c r="AN19" s="7">
        <v>34319931.329999998</v>
      </c>
      <c r="AO19" s="7">
        <v>34414905.770000003</v>
      </c>
      <c r="AP19" s="7">
        <v>1371462.38</v>
      </c>
      <c r="AQ19" s="7">
        <v>40824</v>
      </c>
      <c r="AR19" s="7">
        <v>17784</v>
      </c>
      <c r="AS19" s="7">
        <v>9330</v>
      </c>
      <c r="AT19" s="7">
        <v>10.91</v>
      </c>
      <c r="AU19" s="7">
        <v>15288</v>
      </c>
      <c r="AV19" s="7">
        <v>20988.17</v>
      </c>
      <c r="AW19" s="7">
        <v>40684.53</v>
      </c>
      <c r="AX19" s="7">
        <v>18715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29160</v>
      </c>
      <c r="BF19" s="7">
        <v>4942</v>
      </c>
      <c r="BG19" s="7">
        <v>20361</v>
      </c>
      <c r="BH19" s="7">
        <v>39688</v>
      </c>
      <c r="BI19" s="7">
        <v>17290</v>
      </c>
      <c r="BK19" s="7">
        <v>67380</v>
      </c>
      <c r="BL19" s="7">
        <v>17448</v>
      </c>
      <c r="BM19" s="7">
        <v>0</v>
      </c>
      <c r="BN19" s="7">
        <v>0</v>
      </c>
      <c r="BO19" s="7">
        <v>0</v>
      </c>
      <c r="BP19" s="7">
        <v>25318</v>
      </c>
      <c r="BQ19" s="7">
        <v>341794</v>
      </c>
      <c r="BR19" s="7">
        <v>75586</v>
      </c>
      <c r="BS19" s="7">
        <v>0</v>
      </c>
      <c r="BT19" s="7">
        <v>0</v>
      </c>
      <c r="BU19" s="7">
        <v>121669</v>
      </c>
      <c r="BV19" s="7">
        <v>87548.82</v>
      </c>
      <c r="BW19" s="7">
        <v>0</v>
      </c>
      <c r="BX19" s="7">
        <v>0</v>
      </c>
      <c r="BY19" s="7">
        <v>46726</v>
      </c>
      <c r="BZ19" s="7">
        <v>1746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Q19" s="7">
        <v>0</v>
      </c>
      <c r="CR19" s="7">
        <v>0</v>
      </c>
      <c r="CS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</row>
    <row r="20" spans="1:106">
      <c r="A20" s="8">
        <v>45973</v>
      </c>
      <c r="B20" s="7">
        <v>1320</v>
      </c>
      <c r="C20" s="7">
        <v>486</v>
      </c>
      <c r="D20" s="7">
        <v>0</v>
      </c>
      <c r="E20" s="9">
        <v>40782</v>
      </c>
      <c r="F20" s="7">
        <v>53727</v>
      </c>
      <c r="G20" s="7">
        <v>4837420</v>
      </c>
      <c r="H20" s="7">
        <v>928357</v>
      </c>
      <c r="I20" s="7">
        <v>0</v>
      </c>
      <c r="J20" s="7">
        <v>4363409</v>
      </c>
      <c r="K20" s="9">
        <v>474011</v>
      </c>
      <c r="L20" s="7">
        <v>10909104.49</v>
      </c>
      <c r="M20" s="9">
        <v>38774763.039999999</v>
      </c>
      <c r="N20" s="7">
        <v>826629.37</v>
      </c>
      <c r="O20" s="7">
        <v>812</v>
      </c>
      <c r="P20" s="7">
        <v>274</v>
      </c>
      <c r="Q20" s="7">
        <v>0</v>
      </c>
      <c r="R20" s="7">
        <v>260545</v>
      </c>
      <c r="S20" s="7">
        <v>98496</v>
      </c>
      <c r="T20" s="7">
        <v>0</v>
      </c>
      <c r="U20" s="7">
        <v>0</v>
      </c>
      <c r="V20" s="7">
        <v>577</v>
      </c>
      <c r="W20" s="7">
        <v>188052</v>
      </c>
      <c r="X20" s="7">
        <v>475</v>
      </c>
      <c r="Y20" s="7">
        <v>170641</v>
      </c>
      <c r="Z20" s="7">
        <v>0</v>
      </c>
      <c r="AA20" s="7">
        <v>0</v>
      </c>
      <c r="AB20" s="7">
        <v>109787.09</v>
      </c>
      <c r="AC20" s="7">
        <v>0</v>
      </c>
      <c r="AD20" s="7">
        <v>0</v>
      </c>
      <c r="AE20" s="7">
        <v>6687</v>
      </c>
      <c r="AF20" s="7">
        <v>7112</v>
      </c>
      <c r="AG20" s="7">
        <v>1516</v>
      </c>
      <c r="AH20" s="7">
        <v>0</v>
      </c>
      <c r="AI20" s="7">
        <v>5665040</v>
      </c>
      <c r="AJ20" s="7">
        <v>5551806.2000000002</v>
      </c>
      <c r="AK20" s="7">
        <v>113233.8</v>
      </c>
      <c r="AL20" s="7">
        <v>5317554.03</v>
      </c>
      <c r="AM20" s="7">
        <v>348185.97</v>
      </c>
      <c r="AN20" s="7">
        <v>31896016.16</v>
      </c>
      <c r="AO20" s="7">
        <v>31531303.059999999</v>
      </c>
      <c r="AP20" s="7">
        <v>1578420.3</v>
      </c>
      <c r="AQ20" s="7">
        <v>39696</v>
      </c>
      <c r="AR20" s="7">
        <v>20400</v>
      </c>
      <c r="AS20" s="7">
        <v>11672</v>
      </c>
      <c r="AT20" s="7">
        <v>7.98</v>
      </c>
      <c r="AU20" s="7">
        <v>18570</v>
      </c>
      <c r="AV20" s="7">
        <v>21608.16</v>
      </c>
      <c r="AW20" s="7">
        <v>39489.279999999999</v>
      </c>
      <c r="AX20" s="7">
        <v>23233</v>
      </c>
      <c r="AY20" s="7">
        <v>0</v>
      </c>
      <c r="AZ20" s="7">
        <v>0</v>
      </c>
      <c r="BA20" s="7">
        <v>0</v>
      </c>
      <c r="BB20" s="7">
        <v>0</v>
      </c>
      <c r="BC20" s="7">
        <v>109.76</v>
      </c>
      <c r="BD20" s="7">
        <v>0</v>
      </c>
      <c r="BE20" s="7">
        <v>13995</v>
      </c>
      <c r="BF20" s="7">
        <v>8600</v>
      </c>
      <c r="BG20" s="7">
        <v>18427</v>
      </c>
      <c r="BH20" s="7">
        <v>42034</v>
      </c>
      <c r="BI20" s="7">
        <v>20180</v>
      </c>
      <c r="BK20" s="7">
        <v>57390</v>
      </c>
      <c r="BL20" s="7">
        <v>17760</v>
      </c>
      <c r="BM20" s="7">
        <v>0</v>
      </c>
      <c r="BN20" s="7">
        <v>0</v>
      </c>
      <c r="BO20" s="7">
        <v>0</v>
      </c>
      <c r="BP20" s="7">
        <v>23140</v>
      </c>
      <c r="BQ20" s="7">
        <v>42</v>
      </c>
      <c r="BR20" s="7">
        <v>89000</v>
      </c>
      <c r="BS20" s="7">
        <v>0</v>
      </c>
      <c r="BT20" s="7">
        <v>0</v>
      </c>
      <c r="BU20" s="7">
        <v>156917</v>
      </c>
      <c r="BV20" s="7">
        <v>80905.100000000006</v>
      </c>
      <c r="BW20" s="7">
        <v>0</v>
      </c>
      <c r="BX20" s="7">
        <v>0</v>
      </c>
      <c r="BY20" s="7">
        <v>49376</v>
      </c>
      <c r="BZ20" s="7">
        <v>1518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Q20" s="7">
        <v>0</v>
      </c>
      <c r="CR20" s="7">
        <v>0</v>
      </c>
      <c r="CS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</row>
    <row r="21" spans="1:106">
      <c r="A21" s="8">
        <v>45972</v>
      </c>
      <c r="B21" s="7">
        <v>1474</v>
      </c>
      <c r="C21" s="7">
        <v>540</v>
      </c>
      <c r="D21" s="7">
        <v>0</v>
      </c>
      <c r="E21" s="9">
        <v>43028</v>
      </c>
      <c r="F21" s="7">
        <v>56556</v>
      </c>
      <c r="G21" s="7">
        <v>4935780</v>
      </c>
      <c r="H21" s="7">
        <v>721427</v>
      </c>
      <c r="I21" s="7">
        <v>0</v>
      </c>
      <c r="J21" s="7">
        <v>3839385</v>
      </c>
      <c r="K21" s="9">
        <v>1096395</v>
      </c>
      <c r="L21" s="7">
        <v>10704547.779999999</v>
      </c>
      <c r="M21" s="9">
        <v>41049007.939999998</v>
      </c>
      <c r="N21" s="7">
        <v>886631.88</v>
      </c>
      <c r="O21" s="7">
        <v>861</v>
      </c>
      <c r="P21" s="7">
        <v>249</v>
      </c>
      <c r="Q21" s="7">
        <v>0</v>
      </c>
      <c r="R21" s="7">
        <v>292166</v>
      </c>
      <c r="S21" s="7">
        <v>81836</v>
      </c>
      <c r="T21" s="7">
        <v>0</v>
      </c>
      <c r="U21" s="7">
        <v>0</v>
      </c>
      <c r="V21" s="7">
        <v>633</v>
      </c>
      <c r="W21" s="7">
        <v>245685</v>
      </c>
      <c r="X21" s="7">
        <v>483</v>
      </c>
      <c r="Y21" s="7">
        <v>196046</v>
      </c>
      <c r="Z21" s="7">
        <v>0</v>
      </c>
      <c r="AA21" s="7">
        <v>0</v>
      </c>
      <c r="AB21" s="7">
        <v>110480.98</v>
      </c>
      <c r="AC21" s="7">
        <v>0</v>
      </c>
      <c r="AD21" s="7">
        <v>0</v>
      </c>
      <c r="AE21" s="7">
        <v>40</v>
      </c>
      <c r="AF21" s="7">
        <v>7368</v>
      </c>
      <c r="AG21" s="7">
        <v>1569</v>
      </c>
      <c r="AH21" s="7">
        <v>0</v>
      </c>
      <c r="AI21" s="7">
        <v>5329767</v>
      </c>
      <c r="AJ21" s="7">
        <v>5223199.66</v>
      </c>
      <c r="AK21" s="7">
        <v>106567.34</v>
      </c>
      <c r="AL21" s="7">
        <v>4948865.9800000004</v>
      </c>
      <c r="AM21" s="7">
        <v>379501.02</v>
      </c>
      <c r="AN21" s="7">
        <v>33508367.870000001</v>
      </c>
      <c r="AO21" s="7">
        <v>34283072.020000003</v>
      </c>
      <c r="AP21" s="7">
        <v>1436169.31</v>
      </c>
      <c r="AQ21" s="7">
        <v>44108</v>
      </c>
      <c r="AR21" s="7">
        <v>24098</v>
      </c>
      <c r="AS21" s="7">
        <v>12438</v>
      </c>
      <c r="AT21" s="7">
        <v>13.57</v>
      </c>
      <c r="AU21" s="7">
        <v>26136</v>
      </c>
      <c r="AV21" s="7">
        <v>22129.49</v>
      </c>
      <c r="AW21" s="7">
        <v>39322.199999999997</v>
      </c>
      <c r="AX21" s="7">
        <v>19421</v>
      </c>
      <c r="AY21" s="7">
        <v>0</v>
      </c>
      <c r="AZ21" s="7">
        <v>0</v>
      </c>
      <c r="BA21" s="7">
        <v>0</v>
      </c>
      <c r="BB21" s="7">
        <v>0</v>
      </c>
      <c r="BC21" s="7">
        <v>2</v>
      </c>
      <c r="BD21" s="7">
        <v>0</v>
      </c>
      <c r="BE21" s="7">
        <v>61053</v>
      </c>
      <c r="BF21" s="7">
        <v>5494</v>
      </c>
      <c r="BG21" s="7">
        <v>18400</v>
      </c>
      <c r="BH21" s="7">
        <v>60900</v>
      </c>
      <c r="BI21" s="7">
        <v>23890</v>
      </c>
      <c r="BK21" s="7">
        <v>63390</v>
      </c>
      <c r="BL21" s="7">
        <v>17275</v>
      </c>
      <c r="BM21" s="7">
        <v>0</v>
      </c>
      <c r="BN21" s="7">
        <v>0</v>
      </c>
      <c r="BO21" s="7">
        <v>0</v>
      </c>
      <c r="BP21" s="7">
        <v>21818</v>
      </c>
      <c r="BQ21" s="7">
        <v>0</v>
      </c>
      <c r="BR21" s="7">
        <v>79376</v>
      </c>
      <c r="BS21" s="7">
        <v>0</v>
      </c>
      <c r="BT21" s="7">
        <v>0</v>
      </c>
      <c r="BU21" s="7">
        <v>178901</v>
      </c>
      <c r="BV21" s="7">
        <v>87003.64</v>
      </c>
      <c r="BW21" s="7">
        <v>0</v>
      </c>
      <c r="BX21" s="7">
        <v>0</v>
      </c>
      <c r="BY21" s="7">
        <v>49800</v>
      </c>
      <c r="BZ21" s="7">
        <v>1656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Q21" s="7">
        <v>0</v>
      </c>
      <c r="CR21" s="7">
        <v>0</v>
      </c>
      <c r="CS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</row>
    <row r="22" spans="1:106">
      <c r="A22" s="8">
        <v>45971</v>
      </c>
      <c r="B22" s="7">
        <v>1659</v>
      </c>
      <c r="C22" s="7">
        <v>612</v>
      </c>
      <c r="D22" s="7">
        <v>0</v>
      </c>
      <c r="E22" s="9">
        <v>43751</v>
      </c>
      <c r="F22" s="7">
        <v>58890</v>
      </c>
      <c r="G22" s="7">
        <v>4704337</v>
      </c>
      <c r="H22" s="7">
        <v>716107</v>
      </c>
      <c r="I22" s="7">
        <v>0</v>
      </c>
      <c r="J22" s="7">
        <v>3549517</v>
      </c>
      <c r="K22" s="9">
        <v>1154820</v>
      </c>
      <c r="L22" s="7">
        <v>10364179.76</v>
      </c>
      <c r="M22" s="9">
        <v>39047752.380000003</v>
      </c>
      <c r="N22" s="7">
        <v>904641.02</v>
      </c>
      <c r="O22" s="7">
        <v>945</v>
      </c>
      <c r="P22" s="7">
        <v>267</v>
      </c>
      <c r="Q22" s="7">
        <v>0</v>
      </c>
      <c r="R22" s="7">
        <v>330409</v>
      </c>
      <c r="S22" s="7">
        <v>86197</v>
      </c>
      <c r="T22" s="7">
        <v>0</v>
      </c>
      <c r="U22" s="7">
        <v>0</v>
      </c>
      <c r="V22" s="7">
        <v>658</v>
      </c>
      <c r="W22" s="7">
        <v>191333</v>
      </c>
      <c r="X22" s="7">
        <v>485</v>
      </c>
      <c r="Y22" s="7">
        <v>132644</v>
      </c>
      <c r="Z22" s="7">
        <v>170</v>
      </c>
      <c r="AA22" s="7">
        <v>0</v>
      </c>
      <c r="AB22" s="7">
        <v>104945.52</v>
      </c>
      <c r="AC22" s="7">
        <v>0</v>
      </c>
      <c r="AD22" s="7">
        <v>0</v>
      </c>
      <c r="AE22" s="7">
        <v>0</v>
      </c>
      <c r="AF22" s="7">
        <v>7702</v>
      </c>
      <c r="AG22" s="7">
        <v>1582</v>
      </c>
      <c r="AH22" s="7">
        <v>0</v>
      </c>
      <c r="AI22" s="7">
        <v>5151454</v>
      </c>
      <c r="AJ22" s="7">
        <v>5048493.92</v>
      </c>
      <c r="AK22" s="7">
        <v>102960.08</v>
      </c>
      <c r="AL22" s="7">
        <v>4802012.34</v>
      </c>
      <c r="AM22" s="7">
        <v>345991.66</v>
      </c>
      <c r="AN22" s="7">
        <v>32810471.969999999</v>
      </c>
      <c r="AO22" s="7">
        <v>32268554.82</v>
      </c>
      <c r="AP22" s="7">
        <v>1627743.81</v>
      </c>
      <c r="AQ22" s="7">
        <v>50988</v>
      </c>
      <c r="AR22" s="7">
        <v>21322</v>
      </c>
      <c r="AS22" s="7">
        <v>9740</v>
      </c>
      <c r="AT22" s="7">
        <v>20.54</v>
      </c>
      <c r="AU22" s="7">
        <v>15162</v>
      </c>
      <c r="AV22" s="7">
        <v>23280.78</v>
      </c>
      <c r="AW22" s="7">
        <v>46227.72</v>
      </c>
      <c r="AX22" s="7">
        <v>230700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24777</v>
      </c>
      <c r="BF22" s="7">
        <v>4290</v>
      </c>
      <c r="BG22" s="7">
        <v>19415</v>
      </c>
      <c r="BH22" s="7">
        <v>123858</v>
      </c>
      <c r="BI22" s="7">
        <v>30080</v>
      </c>
      <c r="BK22" s="7">
        <v>84990</v>
      </c>
      <c r="BL22" s="7">
        <v>17682</v>
      </c>
      <c r="BM22" s="7">
        <v>0</v>
      </c>
      <c r="BN22" s="7">
        <v>0</v>
      </c>
      <c r="BO22" s="7">
        <v>0</v>
      </c>
      <c r="BP22" s="7">
        <v>22592</v>
      </c>
      <c r="BQ22" s="7">
        <v>58</v>
      </c>
      <c r="BR22" s="7">
        <v>87876</v>
      </c>
      <c r="BS22" s="7">
        <v>0</v>
      </c>
      <c r="BT22" s="7">
        <v>0</v>
      </c>
      <c r="BU22" s="7">
        <v>112330</v>
      </c>
      <c r="BV22" s="7">
        <v>78772.460000000006</v>
      </c>
      <c r="BW22" s="7">
        <v>0</v>
      </c>
      <c r="BX22" s="7">
        <v>0</v>
      </c>
      <c r="BY22" s="7">
        <v>49369</v>
      </c>
      <c r="BZ22" s="7">
        <v>1472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Q22" s="7">
        <v>0</v>
      </c>
      <c r="CR22" s="7">
        <v>0</v>
      </c>
      <c r="CS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</row>
    <row r="23" spans="1:106">
      <c r="A23" s="8">
        <v>45970</v>
      </c>
      <c r="B23" s="7">
        <v>1599</v>
      </c>
      <c r="C23" s="7">
        <v>619</v>
      </c>
      <c r="D23" s="7">
        <v>0</v>
      </c>
      <c r="E23" s="9">
        <v>44307</v>
      </c>
      <c r="F23" s="7">
        <v>58274</v>
      </c>
      <c r="G23" s="7">
        <v>5274581</v>
      </c>
      <c r="H23" s="7">
        <v>811202</v>
      </c>
      <c r="I23" s="7">
        <v>0</v>
      </c>
      <c r="J23" s="7">
        <v>3783692</v>
      </c>
      <c r="K23" s="9">
        <v>1490889</v>
      </c>
      <c r="L23" s="7">
        <v>10047818.130000001</v>
      </c>
      <c r="M23" s="9">
        <v>42176025.229999997</v>
      </c>
      <c r="N23" s="7">
        <v>894934.17</v>
      </c>
      <c r="O23" s="7">
        <v>1000</v>
      </c>
      <c r="P23" s="7">
        <v>315</v>
      </c>
      <c r="Q23" s="7">
        <v>0</v>
      </c>
      <c r="R23" s="7">
        <v>385021</v>
      </c>
      <c r="S23" s="7">
        <v>97509</v>
      </c>
      <c r="T23" s="7">
        <v>0</v>
      </c>
      <c r="U23" s="7">
        <v>0</v>
      </c>
      <c r="V23" s="7">
        <v>720</v>
      </c>
      <c r="W23" s="7">
        <v>213881</v>
      </c>
      <c r="X23" s="7">
        <v>595</v>
      </c>
      <c r="Y23" s="7">
        <v>206584</v>
      </c>
      <c r="Z23" s="7">
        <v>362</v>
      </c>
      <c r="AA23" s="7">
        <v>0</v>
      </c>
      <c r="AB23" s="7">
        <v>117349.98</v>
      </c>
      <c r="AC23" s="7">
        <v>0</v>
      </c>
      <c r="AD23" s="7">
        <v>0</v>
      </c>
      <c r="AE23" s="7">
        <v>25</v>
      </c>
      <c r="AF23" s="7">
        <v>7563</v>
      </c>
      <c r="AG23" s="7">
        <v>1625</v>
      </c>
      <c r="AH23" s="7">
        <v>0</v>
      </c>
      <c r="AI23" s="7">
        <v>5753536</v>
      </c>
      <c r="AJ23" s="7">
        <v>5638523.2800000003</v>
      </c>
      <c r="AK23" s="7">
        <v>115012.72</v>
      </c>
      <c r="AL23" s="7">
        <v>5381777.9900000002</v>
      </c>
      <c r="AM23" s="7">
        <v>372608.01</v>
      </c>
      <c r="AN23" s="7">
        <v>34919862.689999998</v>
      </c>
      <c r="AO23" s="7">
        <v>34710700.359999999</v>
      </c>
      <c r="AP23" s="7">
        <v>1711789.17</v>
      </c>
      <c r="AQ23" s="7">
        <v>57732</v>
      </c>
      <c r="AR23" s="7">
        <v>23654</v>
      </c>
      <c r="AS23" s="7">
        <v>14762</v>
      </c>
      <c r="AT23" s="7">
        <v>5.27</v>
      </c>
      <c r="AU23" s="7">
        <v>25194</v>
      </c>
      <c r="AV23" s="7">
        <v>22905.3</v>
      </c>
      <c r="AW23" s="7">
        <v>42362.99</v>
      </c>
      <c r="AX23" s="7">
        <v>17067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13204</v>
      </c>
      <c r="BF23" s="7">
        <v>5222</v>
      </c>
      <c r="BG23" s="7">
        <v>19562</v>
      </c>
      <c r="BH23" s="7">
        <v>21578</v>
      </c>
      <c r="BI23" s="7">
        <v>30020</v>
      </c>
      <c r="BK23" s="7">
        <v>74190</v>
      </c>
      <c r="BL23" s="7">
        <v>33552</v>
      </c>
      <c r="BM23" s="7">
        <v>0</v>
      </c>
      <c r="BN23" s="7">
        <v>0</v>
      </c>
      <c r="BO23" s="7">
        <v>0</v>
      </c>
      <c r="BP23" s="7">
        <v>22936</v>
      </c>
      <c r="BQ23" s="7">
        <v>0</v>
      </c>
      <c r="BR23" s="7">
        <v>87274</v>
      </c>
      <c r="BS23" s="7">
        <v>0</v>
      </c>
      <c r="BT23" s="7">
        <v>0</v>
      </c>
      <c r="BU23" s="7">
        <v>162638</v>
      </c>
      <c r="BV23" s="7">
        <v>79625.63</v>
      </c>
      <c r="BW23" s="7">
        <v>0</v>
      </c>
      <c r="BX23" s="7">
        <v>0</v>
      </c>
      <c r="BY23" s="7">
        <v>52673</v>
      </c>
      <c r="BZ23" s="7">
        <v>1336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Q23" s="7">
        <v>0</v>
      </c>
      <c r="CR23" s="7">
        <v>0</v>
      </c>
      <c r="CS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</row>
    <row r="24" spans="1:106">
      <c r="A24" s="8">
        <v>45969</v>
      </c>
      <c r="B24" s="7">
        <v>2367</v>
      </c>
      <c r="C24" s="7">
        <v>685</v>
      </c>
      <c r="D24" s="7">
        <v>0</v>
      </c>
      <c r="E24" s="9">
        <v>44835</v>
      </c>
      <c r="F24" s="7">
        <v>59509</v>
      </c>
      <c r="G24" s="7">
        <v>4740456</v>
      </c>
      <c r="H24" s="7">
        <v>823415</v>
      </c>
      <c r="I24" s="7">
        <v>0</v>
      </c>
      <c r="J24" s="7">
        <v>3990090</v>
      </c>
      <c r="K24" s="9">
        <v>750366</v>
      </c>
      <c r="L24" s="7">
        <v>10012646.25</v>
      </c>
      <c r="M24" s="9">
        <v>44071476.829999998</v>
      </c>
      <c r="N24" s="7">
        <v>921465.11</v>
      </c>
      <c r="O24" s="7">
        <v>1316</v>
      </c>
      <c r="P24" s="7">
        <v>331</v>
      </c>
      <c r="Q24" s="7">
        <v>0</v>
      </c>
      <c r="R24" s="7">
        <v>431156</v>
      </c>
      <c r="S24" s="7">
        <v>106830</v>
      </c>
      <c r="T24" s="7">
        <v>0</v>
      </c>
      <c r="U24" s="7">
        <v>0</v>
      </c>
      <c r="V24" s="7">
        <v>899</v>
      </c>
      <c r="W24" s="7">
        <v>290037</v>
      </c>
      <c r="X24" s="7">
        <v>641</v>
      </c>
      <c r="Y24" s="7">
        <v>241164</v>
      </c>
      <c r="Z24" s="7">
        <v>64</v>
      </c>
      <c r="AA24" s="7">
        <v>0</v>
      </c>
      <c r="AB24" s="7">
        <v>96255.91</v>
      </c>
      <c r="AC24" s="7">
        <v>0</v>
      </c>
      <c r="AD24" s="7">
        <v>0</v>
      </c>
      <c r="AE24" s="7">
        <v>22</v>
      </c>
      <c r="AF24" s="7">
        <v>8020</v>
      </c>
      <c r="AG24" s="7">
        <v>1619</v>
      </c>
      <c r="AH24" s="7">
        <v>0</v>
      </c>
      <c r="AI24" s="7">
        <v>5854327</v>
      </c>
      <c r="AJ24" s="7">
        <v>5737291.46</v>
      </c>
      <c r="AK24" s="7">
        <v>117035.54</v>
      </c>
      <c r="AL24" s="7">
        <v>5458917.3700000001</v>
      </c>
      <c r="AM24" s="7">
        <v>398609.63</v>
      </c>
      <c r="AN24" s="7">
        <v>36549639.68</v>
      </c>
      <c r="AO24" s="7">
        <v>36661476.170000002</v>
      </c>
      <c r="AP24" s="7">
        <v>1555673.94</v>
      </c>
      <c r="AQ24" s="7">
        <v>65564</v>
      </c>
      <c r="AR24" s="7">
        <v>30654</v>
      </c>
      <c r="AS24" s="7">
        <v>16098</v>
      </c>
      <c r="AT24" s="7">
        <v>54.19</v>
      </c>
      <c r="AU24" s="7">
        <v>26346</v>
      </c>
      <c r="AV24" s="7">
        <v>23988.61</v>
      </c>
      <c r="AW24" s="7">
        <v>39342.65</v>
      </c>
      <c r="AX24" s="7">
        <v>16584</v>
      </c>
      <c r="AY24" s="7">
        <v>0</v>
      </c>
      <c r="AZ24" s="7">
        <v>0</v>
      </c>
      <c r="BA24" s="7">
        <v>200</v>
      </c>
      <c r="BB24" s="7">
        <v>0</v>
      </c>
      <c r="BC24" s="7">
        <v>8</v>
      </c>
      <c r="BD24" s="7">
        <v>100</v>
      </c>
      <c r="BE24" s="7">
        <v>19951</v>
      </c>
      <c r="BF24" s="7">
        <v>7458</v>
      </c>
      <c r="BG24" s="7">
        <v>22006</v>
      </c>
      <c r="BH24" s="7">
        <v>24350</v>
      </c>
      <c r="BI24" s="7">
        <v>34150</v>
      </c>
      <c r="BK24" s="7">
        <v>69480</v>
      </c>
      <c r="BL24" s="7">
        <v>21924</v>
      </c>
      <c r="BM24" s="7">
        <v>0</v>
      </c>
      <c r="BN24" s="7">
        <v>0</v>
      </c>
      <c r="BO24" s="7">
        <v>0</v>
      </c>
      <c r="BP24" s="7">
        <v>24064</v>
      </c>
      <c r="BQ24" s="7">
        <v>94</v>
      </c>
      <c r="BR24" s="7">
        <v>101688</v>
      </c>
      <c r="BS24" s="7">
        <v>0</v>
      </c>
      <c r="BT24" s="7">
        <v>0</v>
      </c>
      <c r="BU24" s="7">
        <v>172100</v>
      </c>
      <c r="BV24" s="7">
        <v>91504.75</v>
      </c>
      <c r="BW24" s="7">
        <v>0</v>
      </c>
      <c r="BX24" s="7">
        <v>0</v>
      </c>
      <c r="BY24" s="7">
        <v>53061</v>
      </c>
      <c r="BZ24" s="7">
        <v>1310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Q24" s="7">
        <v>0</v>
      </c>
      <c r="CR24" s="7">
        <v>0</v>
      </c>
      <c r="CS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</row>
    <row r="25" spans="1:106">
      <c r="A25" s="8">
        <v>45968</v>
      </c>
      <c r="B25" s="7">
        <v>3763</v>
      </c>
      <c r="C25" s="7">
        <v>828</v>
      </c>
      <c r="D25" s="7">
        <v>0</v>
      </c>
      <c r="E25" s="9">
        <v>46935</v>
      </c>
      <c r="F25" s="7">
        <v>62019</v>
      </c>
      <c r="G25" s="7">
        <v>4834606</v>
      </c>
      <c r="H25" s="7">
        <v>789612</v>
      </c>
      <c r="I25" s="7">
        <v>0</v>
      </c>
      <c r="J25" s="7">
        <v>3677672</v>
      </c>
      <c r="K25" s="9">
        <v>1156934</v>
      </c>
      <c r="L25" s="7">
        <v>9943962.8200000003</v>
      </c>
      <c r="M25" s="9">
        <v>44213109.710000001</v>
      </c>
      <c r="N25" s="7">
        <v>917940.91</v>
      </c>
      <c r="O25" s="7">
        <v>1625</v>
      </c>
      <c r="P25" s="7">
        <v>316</v>
      </c>
      <c r="Q25" s="7">
        <v>0</v>
      </c>
      <c r="R25" s="7">
        <v>479699</v>
      </c>
      <c r="S25" s="7">
        <v>105505</v>
      </c>
      <c r="T25" s="7">
        <v>0</v>
      </c>
      <c r="U25" s="7">
        <v>0</v>
      </c>
      <c r="V25" s="7">
        <v>872</v>
      </c>
      <c r="W25" s="7">
        <v>264924</v>
      </c>
      <c r="X25" s="7">
        <v>688</v>
      </c>
      <c r="Y25" s="7">
        <v>201807</v>
      </c>
      <c r="Z25" s="7">
        <v>0</v>
      </c>
      <c r="AA25" s="7">
        <v>0</v>
      </c>
      <c r="AB25" s="7">
        <v>99643.69</v>
      </c>
      <c r="AC25" s="7">
        <v>0</v>
      </c>
      <c r="AD25" s="7">
        <v>0</v>
      </c>
      <c r="AE25" s="7">
        <v>97</v>
      </c>
      <c r="AF25" s="7">
        <v>8106</v>
      </c>
      <c r="AG25" s="7">
        <v>1638</v>
      </c>
      <c r="AH25" s="7">
        <v>0</v>
      </c>
      <c r="AI25" s="7">
        <v>5748872</v>
      </c>
      <c r="AJ25" s="7">
        <v>5634028.5599999996</v>
      </c>
      <c r="AK25" s="7">
        <v>114843.44</v>
      </c>
      <c r="AL25" s="7">
        <v>5388658.3600000003</v>
      </c>
      <c r="AM25" s="7">
        <v>357163.64</v>
      </c>
      <c r="AN25" s="7">
        <v>37382332.689999998</v>
      </c>
      <c r="AO25" s="7">
        <v>36861228.549999997</v>
      </c>
      <c r="AP25" s="7">
        <v>1603009.63</v>
      </c>
      <c r="AQ25" s="7">
        <v>74864</v>
      </c>
      <c r="AR25" s="7">
        <v>29392</v>
      </c>
      <c r="AS25" s="7">
        <v>14674</v>
      </c>
      <c r="AT25" s="7">
        <v>30.64</v>
      </c>
      <c r="AU25" s="7">
        <v>25992</v>
      </c>
      <c r="AV25" s="7">
        <v>23854.12</v>
      </c>
      <c r="AW25" s="7">
        <v>43210.03</v>
      </c>
      <c r="AX25" s="7">
        <v>32356</v>
      </c>
      <c r="AY25" s="7">
        <v>0</v>
      </c>
      <c r="AZ25" s="7">
        <v>0</v>
      </c>
      <c r="BA25" s="7">
        <v>0</v>
      </c>
      <c r="BB25" s="7">
        <v>0</v>
      </c>
      <c r="BC25" s="7">
        <v>470.73</v>
      </c>
      <c r="BD25" s="7">
        <v>470.73</v>
      </c>
      <c r="BE25" s="7">
        <v>113925</v>
      </c>
      <c r="BF25" s="7">
        <v>5588</v>
      </c>
      <c r="BG25" s="7">
        <v>20586</v>
      </c>
      <c r="BH25" s="7">
        <v>29622</v>
      </c>
      <c r="BI25" s="7">
        <v>39980</v>
      </c>
      <c r="BK25" s="7">
        <v>70020</v>
      </c>
      <c r="BL25" s="7">
        <v>22540</v>
      </c>
      <c r="BM25" s="7">
        <v>0</v>
      </c>
      <c r="BN25" s="7">
        <v>0</v>
      </c>
      <c r="BO25" s="7">
        <v>0</v>
      </c>
      <c r="BP25" s="7">
        <v>23714</v>
      </c>
      <c r="BQ25" s="7">
        <v>16</v>
      </c>
      <c r="BR25" s="7">
        <v>99274</v>
      </c>
      <c r="BS25" s="7">
        <v>0</v>
      </c>
      <c r="BT25" s="7">
        <v>0</v>
      </c>
      <c r="BU25" s="7">
        <v>161112</v>
      </c>
      <c r="BV25" s="7">
        <v>81938.429999999993</v>
      </c>
      <c r="BW25" s="7">
        <v>0</v>
      </c>
      <c r="BX25" s="7">
        <v>0</v>
      </c>
      <c r="BY25" s="7">
        <v>50084</v>
      </c>
      <c r="BZ25" s="7">
        <v>1806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Q25" s="7">
        <v>0</v>
      </c>
      <c r="CR25" s="7">
        <v>0</v>
      </c>
      <c r="CS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</row>
    <row r="26" spans="1:106">
      <c r="A26" s="8">
        <v>45967</v>
      </c>
      <c r="B26" s="7">
        <v>4387</v>
      </c>
      <c r="C26" s="7">
        <v>852</v>
      </c>
      <c r="D26" s="7">
        <v>0</v>
      </c>
      <c r="E26" s="9">
        <v>46242</v>
      </c>
      <c r="F26" s="7">
        <v>62680</v>
      </c>
      <c r="G26" s="7">
        <v>4777562</v>
      </c>
      <c r="H26" s="7">
        <v>900275</v>
      </c>
      <c r="I26" s="7">
        <v>0</v>
      </c>
      <c r="J26" s="7">
        <v>4274885</v>
      </c>
      <c r="K26" s="9">
        <v>502677</v>
      </c>
      <c r="L26" s="7">
        <v>9975250.8100000005</v>
      </c>
      <c r="M26" s="9">
        <v>45766046.710000001</v>
      </c>
      <c r="N26" s="7">
        <v>1238939.01</v>
      </c>
      <c r="O26" s="7">
        <v>1624</v>
      </c>
      <c r="P26" s="7">
        <v>326</v>
      </c>
      <c r="Q26" s="7">
        <v>0</v>
      </c>
      <c r="R26" s="7">
        <v>445134</v>
      </c>
      <c r="S26" s="7">
        <v>123110</v>
      </c>
      <c r="T26" s="7">
        <v>0</v>
      </c>
      <c r="U26" s="7">
        <v>0</v>
      </c>
      <c r="V26" s="7">
        <v>942</v>
      </c>
      <c r="W26" s="7">
        <v>265496</v>
      </c>
      <c r="X26" s="7">
        <v>687</v>
      </c>
      <c r="Y26" s="7">
        <v>208570</v>
      </c>
      <c r="Z26" s="7">
        <v>0</v>
      </c>
      <c r="AA26" s="7">
        <v>0</v>
      </c>
      <c r="AB26" s="7">
        <v>96952.15</v>
      </c>
      <c r="AC26" s="7">
        <v>0</v>
      </c>
      <c r="AD26" s="7">
        <v>0</v>
      </c>
      <c r="AE26" s="7">
        <v>17</v>
      </c>
      <c r="AF26" s="7">
        <v>9966</v>
      </c>
      <c r="AG26" s="7">
        <v>2035</v>
      </c>
      <c r="AH26" s="7">
        <v>0</v>
      </c>
      <c r="AI26" s="7">
        <v>5743450</v>
      </c>
      <c r="AJ26" s="7">
        <v>5628624</v>
      </c>
      <c r="AK26" s="7">
        <v>114826</v>
      </c>
      <c r="AL26" s="7">
        <v>5389923.8499999996</v>
      </c>
      <c r="AM26" s="7">
        <v>354226.15</v>
      </c>
      <c r="AN26" s="7">
        <v>38668905.079999998</v>
      </c>
      <c r="AO26" s="7">
        <v>38448243.079999998</v>
      </c>
      <c r="AP26" s="7">
        <v>1574353.85</v>
      </c>
      <c r="AQ26" s="7">
        <v>70874</v>
      </c>
      <c r="AR26" s="7">
        <v>30412</v>
      </c>
      <c r="AS26" s="7">
        <v>15138</v>
      </c>
      <c r="AT26" s="7">
        <v>44.08</v>
      </c>
      <c r="AU26" s="7">
        <v>16548</v>
      </c>
      <c r="AV26" s="7">
        <v>20885.55</v>
      </c>
      <c r="AW26" s="7">
        <v>41302.6</v>
      </c>
      <c r="AX26" s="7">
        <v>18611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23214</v>
      </c>
      <c r="BF26" s="7">
        <v>7178</v>
      </c>
      <c r="BG26" s="7">
        <v>23710</v>
      </c>
      <c r="BH26" s="7">
        <v>43228</v>
      </c>
      <c r="BI26" s="7">
        <v>52810</v>
      </c>
      <c r="BK26" s="7">
        <v>73500</v>
      </c>
      <c r="BL26" s="7">
        <v>15650</v>
      </c>
      <c r="BM26" s="7">
        <v>0</v>
      </c>
      <c r="BN26" s="7">
        <v>0</v>
      </c>
      <c r="BO26" s="7">
        <v>0</v>
      </c>
      <c r="BP26" s="7">
        <v>25438</v>
      </c>
      <c r="BQ26" s="7">
        <v>334004</v>
      </c>
      <c r="BR26" s="7">
        <v>93500</v>
      </c>
      <c r="BS26" s="7">
        <v>0</v>
      </c>
      <c r="BT26" s="7">
        <v>0</v>
      </c>
      <c r="BU26" s="7">
        <v>141705</v>
      </c>
      <c r="BV26" s="7">
        <v>85364.63</v>
      </c>
      <c r="BW26" s="7">
        <v>0</v>
      </c>
      <c r="BX26" s="7">
        <v>0</v>
      </c>
      <c r="BY26" s="7">
        <v>49213</v>
      </c>
      <c r="BZ26" s="7">
        <v>1482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Q26" s="7">
        <v>0</v>
      </c>
      <c r="CR26" s="7">
        <v>0</v>
      </c>
      <c r="CS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</row>
    <row r="27" spans="1:106">
      <c r="A27" s="8">
        <v>45966</v>
      </c>
      <c r="B27" s="7">
        <v>3410</v>
      </c>
      <c r="C27" s="7">
        <v>781</v>
      </c>
      <c r="D27" s="7">
        <v>0</v>
      </c>
      <c r="E27" s="9">
        <v>46452</v>
      </c>
      <c r="F27" s="7">
        <v>61617</v>
      </c>
      <c r="G27" s="7">
        <v>4429531</v>
      </c>
      <c r="H27" s="7">
        <v>758074</v>
      </c>
      <c r="I27" s="7">
        <v>0</v>
      </c>
      <c r="J27" s="7">
        <v>3404800</v>
      </c>
      <c r="K27" s="9">
        <v>1024731</v>
      </c>
      <c r="L27" s="7">
        <v>10472277.1</v>
      </c>
      <c r="M27" s="9">
        <v>38432624.369999997</v>
      </c>
      <c r="N27" s="7">
        <v>934817.39</v>
      </c>
      <c r="O27" s="7">
        <v>1400</v>
      </c>
      <c r="P27" s="7">
        <v>292</v>
      </c>
      <c r="Q27" s="7">
        <v>0</v>
      </c>
      <c r="R27" s="7">
        <v>399029</v>
      </c>
      <c r="S27" s="7">
        <v>103823</v>
      </c>
      <c r="T27" s="7">
        <v>0</v>
      </c>
      <c r="U27" s="7">
        <v>0</v>
      </c>
      <c r="V27" s="7">
        <v>783</v>
      </c>
      <c r="W27" s="7">
        <v>236063</v>
      </c>
      <c r="X27" s="7">
        <v>615</v>
      </c>
      <c r="Y27" s="7">
        <v>176853</v>
      </c>
      <c r="Z27" s="7">
        <v>0</v>
      </c>
      <c r="AA27" s="7">
        <v>0</v>
      </c>
      <c r="AB27" s="7">
        <v>93537.02</v>
      </c>
      <c r="AC27" s="7">
        <v>0</v>
      </c>
      <c r="AD27" s="7">
        <v>0</v>
      </c>
      <c r="AE27" s="7">
        <v>42</v>
      </c>
      <c r="AF27" s="7">
        <v>7815</v>
      </c>
      <c r="AG27" s="7">
        <v>1569</v>
      </c>
      <c r="AH27" s="7">
        <v>0</v>
      </c>
      <c r="AI27" s="7">
        <v>5807205</v>
      </c>
      <c r="AJ27" s="7">
        <v>5691112.9000000004</v>
      </c>
      <c r="AK27" s="7">
        <v>116092.1</v>
      </c>
      <c r="AL27" s="7">
        <v>5439998.3700000001</v>
      </c>
      <c r="AM27" s="7">
        <v>367906.63</v>
      </c>
      <c r="AN27" s="7">
        <v>31596710.02</v>
      </c>
      <c r="AO27" s="7">
        <v>30970193.609999999</v>
      </c>
      <c r="AP27" s="7">
        <v>1655225.93</v>
      </c>
      <c r="AQ27" s="7">
        <v>61272</v>
      </c>
      <c r="AR27" s="7">
        <v>25528</v>
      </c>
      <c r="AS27" s="7">
        <v>12268</v>
      </c>
      <c r="AT27" s="7">
        <v>29.33</v>
      </c>
      <c r="AU27" s="7">
        <v>14856</v>
      </c>
      <c r="AV27" s="7">
        <v>20334.64</v>
      </c>
      <c r="AW27" s="7">
        <v>37292.800000000003</v>
      </c>
      <c r="AX27" s="7">
        <v>21801</v>
      </c>
      <c r="AY27" s="7">
        <v>0</v>
      </c>
      <c r="AZ27" s="7">
        <v>0</v>
      </c>
      <c r="BA27" s="7">
        <v>0</v>
      </c>
      <c r="BB27" s="7">
        <v>0</v>
      </c>
      <c r="BC27" s="7">
        <v>2385.31</v>
      </c>
      <c r="BD27" s="7">
        <v>0</v>
      </c>
      <c r="BE27" s="7">
        <v>99913</v>
      </c>
      <c r="BF27" s="7">
        <v>5848</v>
      </c>
      <c r="BG27" s="7">
        <v>19352</v>
      </c>
      <c r="BH27" s="7">
        <v>45980</v>
      </c>
      <c r="BI27" s="7">
        <v>61400</v>
      </c>
      <c r="BK27" s="7">
        <v>73300</v>
      </c>
      <c r="BL27" s="7">
        <v>15818</v>
      </c>
      <c r="BM27" s="7">
        <v>0</v>
      </c>
      <c r="BN27" s="7">
        <v>0</v>
      </c>
      <c r="BO27" s="7">
        <v>0</v>
      </c>
      <c r="BP27" s="7">
        <v>21906</v>
      </c>
      <c r="BQ27" s="7">
        <v>0</v>
      </c>
      <c r="BR27" s="7">
        <v>91962</v>
      </c>
      <c r="BS27" s="7">
        <v>0</v>
      </c>
      <c r="BT27" s="7">
        <v>0</v>
      </c>
      <c r="BU27" s="7">
        <v>219649</v>
      </c>
      <c r="BV27" s="7">
        <v>66780.289999999994</v>
      </c>
      <c r="BW27" s="7">
        <v>0</v>
      </c>
      <c r="BX27" s="7">
        <v>0</v>
      </c>
      <c r="BY27" s="7">
        <v>44069</v>
      </c>
      <c r="BZ27" s="7">
        <v>1250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Q27" s="7">
        <v>0</v>
      </c>
      <c r="CR27" s="7">
        <v>0</v>
      </c>
      <c r="CS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</row>
    <row r="28" spans="1:106">
      <c r="A28" s="8">
        <v>45965</v>
      </c>
      <c r="B28" s="7">
        <v>3122</v>
      </c>
      <c r="C28" s="7">
        <v>717</v>
      </c>
      <c r="D28" s="7">
        <v>0</v>
      </c>
      <c r="E28" s="9">
        <v>47128</v>
      </c>
      <c r="F28" s="7">
        <v>63341</v>
      </c>
      <c r="G28" s="7">
        <v>4662652</v>
      </c>
      <c r="H28" s="7">
        <v>719644</v>
      </c>
      <c r="I28" s="7">
        <v>0</v>
      </c>
      <c r="J28" s="7">
        <v>3585665</v>
      </c>
      <c r="K28" s="9">
        <v>1076987</v>
      </c>
      <c r="L28" s="7">
        <v>10267741.810000001</v>
      </c>
      <c r="M28" s="9">
        <v>35938738.409999996</v>
      </c>
      <c r="N28" s="7">
        <v>983438.32</v>
      </c>
      <c r="O28" s="7">
        <v>1341</v>
      </c>
      <c r="P28" s="7">
        <v>268</v>
      </c>
      <c r="Q28" s="7">
        <v>0</v>
      </c>
      <c r="R28" s="7">
        <v>386028</v>
      </c>
      <c r="S28" s="7">
        <v>95405</v>
      </c>
      <c r="T28" s="7">
        <v>0</v>
      </c>
      <c r="U28" s="7">
        <v>0</v>
      </c>
      <c r="V28" s="7">
        <v>836</v>
      </c>
      <c r="W28" s="7">
        <v>257578</v>
      </c>
      <c r="X28" s="7">
        <v>583</v>
      </c>
      <c r="Y28" s="7">
        <v>204077</v>
      </c>
      <c r="Z28" s="7">
        <v>0</v>
      </c>
      <c r="AA28" s="7">
        <v>0</v>
      </c>
      <c r="AB28" s="7">
        <v>98480.76</v>
      </c>
      <c r="AC28" s="7">
        <v>0</v>
      </c>
      <c r="AD28" s="7">
        <v>0</v>
      </c>
      <c r="AE28" s="7">
        <v>21</v>
      </c>
      <c r="AF28" s="7">
        <v>8021</v>
      </c>
      <c r="AG28" s="7">
        <v>1606</v>
      </c>
      <c r="AH28" s="7">
        <v>0</v>
      </c>
      <c r="AI28" s="7">
        <v>5653919</v>
      </c>
      <c r="AJ28" s="7">
        <v>5540954.6200000001</v>
      </c>
      <c r="AK28" s="7">
        <v>112964.38</v>
      </c>
      <c r="AL28" s="7">
        <v>5270329.17</v>
      </c>
      <c r="AM28" s="7">
        <v>377889.83</v>
      </c>
      <c r="AN28" s="7">
        <v>29234766.989999998</v>
      </c>
      <c r="AO28" s="7">
        <v>29038914.23</v>
      </c>
      <c r="AP28" s="7">
        <v>1245905.29</v>
      </c>
      <c r="AQ28" s="7">
        <v>60136</v>
      </c>
      <c r="AR28" s="7">
        <v>27816</v>
      </c>
      <c r="AS28" s="7">
        <v>13430</v>
      </c>
      <c r="AT28" s="7">
        <v>307.76</v>
      </c>
      <c r="AU28" s="7">
        <v>14070</v>
      </c>
      <c r="AV28" s="7">
        <v>24239.35</v>
      </c>
      <c r="AW28" s="7">
        <v>43815.79</v>
      </c>
      <c r="AX28" s="7">
        <v>27119</v>
      </c>
      <c r="AY28" s="7">
        <v>0</v>
      </c>
      <c r="AZ28" s="7">
        <v>31500</v>
      </c>
      <c r="BA28" s="7">
        <v>0</v>
      </c>
      <c r="BB28" s="7">
        <v>0</v>
      </c>
      <c r="BC28" s="7">
        <v>100</v>
      </c>
      <c r="BD28" s="7">
        <v>0</v>
      </c>
      <c r="BE28" s="7">
        <v>72101</v>
      </c>
      <c r="BF28" s="7">
        <v>9214</v>
      </c>
      <c r="BG28" s="7">
        <v>20559</v>
      </c>
      <c r="BH28" s="7">
        <v>64402</v>
      </c>
      <c r="BI28" s="7">
        <v>76530</v>
      </c>
      <c r="BK28" s="7">
        <v>68760</v>
      </c>
      <c r="BL28" s="7">
        <v>31636</v>
      </c>
      <c r="BM28" s="7">
        <v>0</v>
      </c>
      <c r="BN28" s="7">
        <v>0</v>
      </c>
      <c r="BO28" s="7">
        <v>0</v>
      </c>
      <c r="BP28" s="7">
        <v>22364</v>
      </c>
      <c r="BQ28" s="7">
        <v>0</v>
      </c>
      <c r="BR28" s="7">
        <v>81172</v>
      </c>
      <c r="BS28" s="7">
        <v>0</v>
      </c>
      <c r="BT28" s="7">
        <v>0</v>
      </c>
      <c r="BU28" s="7">
        <v>191232</v>
      </c>
      <c r="BV28" s="7">
        <v>84055.66</v>
      </c>
      <c r="BW28" s="7">
        <v>0</v>
      </c>
      <c r="BX28" s="7">
        <v>0</v>
      </c>
      <c r="BY28" s="7">
        <v>49712</v>
      </c>
      <c r="BZ28" s="7">
        <v>1406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Q28" s="7">
        <v>0</v>
      </c>
      <c r="CR28" s="7">
        <v>0</v>
      </c>
      <c r="CS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</row>
    <row r="29" spans="1:106">
      <c r="A29" s="8">
        <v>45964</v>
      </c>
      <c r="B29" s="7">
        <v>2816</v>
      </c>
      <c r="C29" s="7">
        <v>703</v>
      </c>
      <c r="D29" s="7">
        <v>0</v>
      </c>
      <c r="E29" s="9">
        <v>47741</v>
      </c>
      <c r="F29" s="7">
        <v>64393</v>
      </c>
      <c r="G29" s="7">
        <v>4833773.38</v>
      </c>
      <c r="H29" s="7">
        <v>915764</v>
      </c>
      <c r="I29" s="7">
        <v>0</v>
      </c>
      <c r="J29" s="7">
        <v>3893501</v>
      </c>
      <c r="K29" s="9">
        <v>940272.38</v>
      </c>
      <c r="L29" s="7">
        <v>10139948.74</v>
      </c>
      <c r="M29" s="9">
        <v>45940592.450000003</v>
      </c>
      <c r="N29" s="7">
        <v>1145756.8899999999</v>
      </c>
      <c r="O29" s="7">
        <v>1383</v>
      </c>
      <c r="P29" s="7">
        <v>319</v>
      </c>
      <c r="Q29" s="7">
        <v>0</v>
      </c>
      <c r="R29" s="7">
        <v>402834</v>
      </c>
      <c r="S29" s="7">
        <v>107054</v>
      </c>
      <c r="T29" s="7">
        <v>0</v>
      </c>
      <c r="U29" s="7">
        <v>0</v>
      </c>
      <c r="V29" s="7">
        <v>810</v>
      </c>
      <c r="W29" s="7">
        <v>243449</v>
      </c>
      <c r="X29" s="7">
        <v>618</v>
      </c>
      <c r="Y29" s="7">
        <v>177224</v>
      </c>
      <c r="Z29" s="7">
        <v>0</v>
      </c>
      <c r="AA29" s="7">
        <v>0</v>
      </c>
      <c r="AB29" s="7">
        <v>101945.95</v>
      </c>
      <c r="AC29" s="7">
        <v>0</v>
      </c>
      <c r="AD29" s="7">
        <v>0</v>
      </c>
      <c r="AE29" s="7">
        <v>127</v>
      </c>
      <c r="AF29" s="7">
        <v>9138</v>
      </c>
      <c r="AG29" s="7">
        <v>1908</v>
      </c>
      <c r="AH29" s="7">
        <v>0</v>
      </c>
      <c r="AI29" s="7">
        <v>6224136</v>
      </c>
      <c r="AJ29" s="7">
        <v>6099707.2800000003</v>
      </c>
      <c r="AK29" s="7">
        <v>124428.72</v>
      </c>
      <c r="AL29" s="7">
        <v>5794343.2699999996</v>
      </c>
      <c r="AM29" s="7">
        <v>427092.73</v>
      </c>
      <c r="AN29" s="7">
        <v>38315718.340000004</v>
      </c>
      <c r="AO29" s="7">
        <v>38108818.899999999</v>
      </c>
      <c r="AP29" s="7">
        <v>1607637.78</v>
      </c>
      <c r="AQ29" s="7">
        <v>62872</v>
      </c>
      <c r="AR29" s="7">
        <v>26980</v>
      </c>
      <c r="AS29" s="7">
        <v>13060</v>
      </c>
      <c r="AT29" s="7">
        <v>11.64</v>
      </c>
      <c r="AU29" s="7">
        <v>16314</v>
      </c>
      <c r="AV29" s="7">
        <v>24257.35</v>
      </c>
      <c r="AW29" s="7">
        <v>41121.57</v>
      </c>
      <c r="AX29" s="7">
        <v>16112</v>
      </c>
      <c r="AY29" s="7">
        <v>0</v>
      </c>
      <c r="AZ29" s="7">
        <v>15100</v>
      </c>
      <c r="BA29" s="7">
        <v>0</v>
      </c>
      <c r="BB29" s="7">
        <v>0</v>
      </c>
      <c r="BC29" s="7">
        <v>0</v>
      </c>
      <c r="BD29" s="7">
        <v>0</v>
      </c>
      <c r="BE29" s="7">
        <v>98359</v>
      </c>
      <c r="BF29" s="7">
        <v>5608</v>
      </c>
      <c r="BG29" s="7">
        <v>21184</v>
      </c>
      <c r="BH29" s="7">
        <v>131918</v>
      </c>
      <c r="BI29" s="7">
        <v>142660</v>
      </c>
      <c r="BK29" s="7">
        <v>76050</v>
      </c>
      <c r="BL29" s="7">
        <v>17230</v>
      </c>
      <c r="BM29" s="7">
        <v>0</v>
      </c>
      <c r="BN29" s="7">
        <v>0</v>
      </c>
      <c r="BO29" s="7">
        <v>0</v>
      </c>
      <c r="BP29" s="7">
        <v>25530</v>
      </c>
      <c r="BQ29" s="7">
        <v>78</v>
      </c>
      <c r="BR29" s="7">
        <v>98086</v>
      </c>
      <c r="BS29" s="7">
        <v>0</v>
      </c>
      <c r="BT29" s="7">
        <v>0</v>
      </c>
      <c r="BU29" s="7">
        <v>208273</v>
      </c>
      <c r="BV29" s="7">
        <v>77096.38</v>
      </c>
      <c r="BW29" s="7">
        <v>0</v>
      </c>
      <c r="BX29" s="7">
        <v>0</v>
      </c>
      <c r="BY29" s="7">
        <v>53683</v>
      </c>
      <c r="BZ29" s="7">
        <v>1798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Q29" s="7">
        <v>0</v>
      </c>
      <c r="CR29" s="7">
        <v>0</v>
      </c>
      <c r="CS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</row>
    <row r="30" spans="1:106">
      <c r="A30" s="8">
        <v>45963</v>
      </c>
      <c r="B30" s="7">
        <v>1915</v>
      </c>
      <c r="C30" s="7">
        <v>705</v>
      </c>
      <c r="D30" s="7">
        <v>0</v>
      </c>
      <c r="E30" s="9">
        <v>45843</v>
      </c>
      <c r="F30" s="7">
        <v>63908</v>
      </c>
      <c r="G30" s="7">
        <v>4464009</v>
      </c>
      <c r="H30" s="7">
        <v>855712</v>
      </c>
      <c r="I30" s="7">
        <v>0</v>
      </c>
      <c r="J30" s="7">
        <v>3630412</v>
      </c>
      <c r="K30" s="9">
        <v>833597</v>
      </c>
      <c r="L30" s="7">
        <v>9494344.7699999996</v>
      </c>
      <c r="M30" s="9">
        <v>42274662.600000001</v>
      </c>
      <c r="N30" s="7">
        <v>1040045.08</v>
      </c>
      <c r="O30" s="7">
        <v>1106</v>
      </c>
      <c r="P30" s="7">
        <v>317</v>
      </c>
      <c r="Q30" s="7">
        <v>0</v>
      </c>
      <c r="R30" s="7">
        <v>299581</v>
      </c>
      <c r="S30" s="7">
        <v>96302</v>
      </c>
      <c r="T30" s="7">
        <v>0</v>
      </c>
      <c r="U30" s="7">
        <v>0</v>
      </c>
      <c r="V30" s="7">
        <v>764</v>
      </c>
      <c r="W30" s="7">
        <v>226395</v>
      </c>
      <c r="X30" s="7">
        <v>568</v>
      </c>
      <c r="Y30" s="7">
        <v>180221</v>
      </c>
      <c r="Z30" s="7">
        <v>0</v>
      </c>
      <c r="AA30" s="7">
        <v>0</v>
      </c>
      <c r="AB30" s="7">
        <v>99953.15</v>
      </c>
      <c r="AC30" s="7">
        <v>0</v>
      </c>
      <c r="AD30" s="7">
        <v>0</v>
      </c>
      <c r="AE30" s="7">
        <v>0</v>
      </c>
      <c r="AF30" s="7">
        <v>8396</v>
      </c>
      <c r="AG30" s="7">
        <v>1868</v>
      </c>
      <c r="AH30" s="7">
        <v>0</v>
      </c>
      <c r="AI30" s="7">
        <v>5769184</v>
      </c>
      <c r="AJ30" s="7">
        <v>5653862.3200000003</v>
      </c>
      <c r="AK30" s="7">
        <v>115321.68</v>
      </c>
      <c r="AL30" s="7">
        <v>5408720.3200000003</v>
      </c>
      <c r="AM30" s="7">
        <v>360913.68</v>
      </c>
      <c r="AN30" s="7">
        <v>35237466.450000003</v>
      </c>
      <c r="AO30" s="7">
        <v>35609121.600000001</v>
      </c>
      <c r="AP30" s="7">
        <v>896357.28</v>
      </c>
      <c r="AQ30" s="7">
        <v>47332</v>
      </c>
      <c r="AR30" s="7">
        <v>25544</v>
      </c>
      <c r="AS30" s="7">
        <v>13024</v>
      </c>
      <c r="AT30" s="7">
        <v>17.79</v>
      </c>
      <c r="AU30" s="7">
        <v>14832</v>
      </c>
      <c r="AV30" s="7">
        <v>20706.32</v>
      </c>
      <c r="AW30" s="7">
        <v>37345.61</v>
      </c>
      <c r="AX30" s="7">
        <v>15446</v>
      </c>
      <c r="AY30" s="7">
        <v>0</v>
      </c>
      <c r="AZ30" s="7">
        <v>0</v>
      </c>
      <c r="BA30" s="7">
        <v>0</v>
      </c>
      <c r="BB30" s="7">
        <v>0</v>
      </c>
      <c r="BC30" s="7">
        <v>1539.5</v>
      </c>
      <c r="BD30" s="7">
        <v>0</v>
      </c>
      <c r="BE30" s="7">
        <v>59939</v>
      </c>
      <c r="BF30" s="7">
        <v>11482</v>
      </c>
      <c r="BG30" s="7">
        <v>19254</v>
      </c>
      <c r="BH30" s="7">
        <v>29040</v>
      </c>
      <c r="BI30" s="7">
        <v>207920</v>
      </c>
      <c r="BK30" s="7">
        <v>69390</v>
      </c>
      <c r="BL30" s="7">
        <v>21090</v>
      </c>
      <c r="BM30" s="7">
        <v>0</v>
      </c>
      <c r="BN30" s="7">
        <v>0</v>
      </c>
      <c r="BO30" s="7">
        <v>0</v>
      </c>
      <c r="BP30" s="7">
        <v>24830</v>
      </c>
      <c r="BQ30" s="7">
        <v>26</v>
      </c>
      <c r="BR30" s="7">
        <v>91962</v>
      </c>
      <c r="BS30" s="7">
        <v>0</v>
      </c>
      <c r="BT30" s="7">
        <v>0</v>
      </c>
      <c r="BU30" s="7">
        <v>184703</v>
      </c>
      <c r="BV30" s="7">
        <v>73974.710000000006</v>
      </c>
      <c r="BW30" s="7">
        <v>0</v>
      </c>
      <c r="BX30" s="7">
        <v>0</v>
      </c>
      <c r="BY30" s="7">
        <v>45109</v>
      </c>
      <c r="BZ30" s="7">
        <v>970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Q30" s="7">
        <v>0</v>
      </c>
      <c r="CR30" s="7">
        <v>0</v>
      </c>
      <c r="CS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</row>
    <row r="31" spans="1:106">
      <c r="A31" s="8">
        <v>45962</v>
      </c>
      <c r="B31" s="7">
        <v>4154</v>
      </c>
      <c r="C31" s="7">
        <v>859</v>
      </c>
      <c r="D31" s="7">
        <v>0</v>
      </c>
      <c r="E31" s="9">
        <v>52573</v>
      </c>
      <c r="F31" s="7">
        <v>75376</v>
      </c>
      <c r="G31" s="7">
        <v>4362297.62</v>
      </c>
      <c r="H31" s="7">
        <v>855882.62</v>
      </c>
      <c r="I31" s="7">
        <v>0</v>
      </c>
      <c r="J31" s="7">
        <v>3714828</v>
      </c>
      <c r="K31" s="9">
        <v>647469.62</v>
      </c>
      <c r="L31" s="7">
        <v>9511928.5700000003</v>
      </c>
      <c r="M31" s="9">
        <v>38474376.289999999</v>
      </c>
      <c r="N31" s="7">
        <v>1198121.57</v>
      </c>
      <c r="O31" s="7">
        <v>1270</v>
      </c>
      <c r="P31" s="7">
        <v>256</v>
      </c>
      <c r="Q31" s="7">
        <v>0</v>
      </c>
      <c r="R31" s="7">
        <v>413520</v>
      </c>
      <c r="S31" s="7">
        <v>104899</v>
      </c>
      <c r="T31" s="7">
        <v>0</v>
      </c>
      <c r="U31" s="7">
        <v>0</v>
      </c>
      <c r="V31" s="7">
        <v>692</v>
      </c>
      <c r="W31" s="7">
        <v>267110</v>
      </c>
      <c r="X31" s="7">
        <v>486</v>
      </c>
      <c r="Y31" s="7">
        <v>169198</v>
      </c>
      <c r="Z31" s="7">
        <v>0</v>
      </c>
      <c r="AA31" s="7">
        <v>0</v>
      </c>
      <c r="AB31" s="7">
        <v>91871.1</v>
      </c>
      <c r="AC31" s="7">
        <v>0</v>
      </c>
      <c r="AD31" s="7">
        <v>0</v>
      </c>
      <c r="AE31" s="7">
        <v>27</v>
      </c>
      <c r="AF31" s="7">
        <v>8630</v>
      </c>
      <c r="AG31" s="7">
        <v>1763</v>
      </c>
      <c r="AH31" s="7">
        <v>0</v>
      </c>
      <c r="AI31" s="7">
        <v>5860281</v>
      </c>
      <c r="AJ31" s="7">
        <v>5743140.3799999999</v>
      </c>
      <c r="AK31" s="7">
        <v>117140.62</v>
      </c>
      <c r="AL31" s="7">
        <v>5442066.3399999999</v>
      </c>
      <c r="AM31" s="7">
        <v>418964.66</v>
      </c>
      <c r="AN31" s="7">
        <v>31113812.129999999</v>
      </c>
      <c r="AO31" s="7">
        <v>31129634.579999998</v>
      </c>
      <c r="AP31" s="7">
        <v>1484460.99</v>
      </c>
      <c r="AQ31" s="7">
        <v>63218</v>
      </c>
      <c r="AR31" s="7">
        <v>28166</v>
      </c>
      <c r="AS31" s="7">
        <v>11580</v>
      </c>
      <c r="AT31" s="7">
        <v>28.82</v>
      </c>
      <c r="AU31" s="7">
        <v>15540</v>
      </c>
      <c r="AV31" s="7">
        <v>20703.72</v>
      </c>
      <c r="AW31" s="7">
        <v>42347.21</v>
      </c>
      <c r="AX31" s="7">
        <v>4900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31257</v>
      </c>
      <c r="BF31" s="7">
        <v>17966</v>
      </c>
      <c r="BG31" s="7">
        <v>18273</v>
      </c>
      <c r="BH31" s="7">
        <v>34778</v>
      </c>
      <c r="BI31" s="7">
        <v>418870</v>
      </c>
      <c r="BK31" s="7">
        <v>77820</v>
      </c>
      <c r="BL31" s="7">
        <v>15963</v>
      </c>
      <c r="BM31" s="7">
        <v>0</v>
      </c>
      <c r="BN31" s="7">
        <v>0</v>
      </c>
      <c r="BO31" s="7">
        <v>0</v>
      </c>
      <c r="BP31" s="7">
        <v>24150</v>
      </c>
      <c r="BQ31" s="7">
        <v>88</v>
      </c>
      <c r="BR31" s="7">
        <v>80274</v>
      </c>
      <c r="BS31" s="7">
        <v>0</v>
      </c>
      <c r="BT31" s="7">
        <v>0</v>
      </c>
      <c r="BU31" s="7">
        <v>113788</v>
      </c>
      <c r="BV31" s="7">
        <v>75764.72</v>
      </c>
      <c r="BW31" s="7">
        <v>0</v>
      </c>
      <c r="BX31" s="7">
        <v>0</v>
      </c>
      <c r="BY31" s="7">
        <v>45370</v>
      </c>
      <c r="BZ31" s="7">
        <v>1562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Q31" s="7">
        <v>0</v>
      </c>
      <c r="CR31" s="7">
        <v>0</v>
      </c>
      <c r="CS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302B-035D-3049-BD92-82D14CA792A1}">
  <dimension ref="A1:DB33"/>
  <sheetViews>
    <sheetView workbookViewId="0">
      <selection activeCell="G2" sqref="G2"/>
    </sheetView>
  </sheetViews>
  <sheetFormatPr baseColWidth="10" defaultRowHeight="15"/>
  <cols>
    <col min="1" max="3" width="10.83203125" style="4"/>
    <col min="4" max="4" width="17.5" style="4" customWidth="1"/>
    <col min="5" max="8" width="10.83203125" style="4"/>
    <col min="9" max="9" width="17.1640625" style="4" customWidth="1"/>
    <col min="10" max="16384" width="10.83203125" style="4"/>
  </cols>
  <sheetData>
    <row r="1" spans="1:106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90</v>
      </c>
      <c r="Q1" s="4" t="s">
        <v>91</v>
      </c>
      <c r="R1" s="4" t="s">
        <v>92</v>
      </c>
      <c r="S1" s="4" t="s">
        <v>93</v>
      </c>
      <c r="T1" s="4" t="s">
        <v>94</v>
      </c>
      <c r="U1" s="4" t="s">
        <v>95</v>
      </c>
      <c r="V1" s="4" t="s">
        <v>96</v>
      </c>
      <c r="W1" s="4" t="s">
        <v>97</v>
      </c>
      <c r="X1" s="4" t="s">
        <v>98</v>
      </c>
      <c r="Y1" s="4" t="s">
        <v>99</v>
      </c>
      <c r="Z1" s="4" t="s">
        <v>100</v>
      </c>
      <c r="AA1" s="4" t="s">
        <v>101</v>
      </c>
      <c r="AB1" s="4" t="s">
        <v>102</v>
      </c>
      <c r="AC1" s="4" t="s">
        <v>103</v>
      </c>
      <c r="AD1" s="4" t="s">
        <v>104</v>
      </c>
      <c r="AE1" s="4" t="s">
        <v>105</v>
      </c>
      <c r="AF1" s="5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29</v>
      </c>
      <c r="AU1" s="4" t="s">
        <v>30</v>
      </c>
      <c r="AV1" s="4" t="s">
        <v>31</v>
      </c>
      <c r="AW1" s="4" t="s">
        <v>32</v>
      </c>
      <c r="AX1" s="4" t="s">
        <v>33</v>
      </c>
      <c r="AY1" s="4" t="s">
        <v>34</v>
      </c>
      <c r="AZ1" s="4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42</v>
      </c>
      <c r="BH1" s="4" t="s">
        <v>43</v>
      </c>
      <c r="BI1" s="4" t="s">
        <v>44</v>
      </c>
      <c r="BJ1" s="4" t="s">
        <v>45</v>
      </c>
      <c r="BK1" s="4" t="s">
        <v>46</v>
      </c>
      <c r="BL1" s="4" t="s">
        <v>47</v>
      </c>
      <c r="BM1" s="4" t="s">
        <v>48</v>
      </c>
      <c r="BN1" s="4" t="s">
        <v>49</v>
      </c>
      <c r="BO1" s="4" t="s">
        <v>50</v>
      </c>
      <c r="BP1" s="4" t="s">
        <v>51</v>
      </c>
      <c r="BQ1" s="4" t="s">
        <v>52</v>
      </c>
      <c r="BR1" s="4" t="s">
        <v>53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59</v>
      </c>
      <c r="BY1" s="4" t="s">
        <v>60</v>
      </c>
      <c r="BZ1" s="4" t="s">
        <v>61</v>
      </c>
      <c r="CA1" s="4" t="s">
        <v>62</v>
      </c>
      <c r="CB1" s="4" t="s">
        <v>63</v>
      </c>
      <c r="CC1" s="4" t="s">
        <v>64</v>
      </c>
      <c r="CD1" s="4" t="s">
        <v>65</v>
      </c>
      <c r="CE1" s="4" t="s">
        <v>66</v>
      </c>
      <c r="CF1" s="4" t="s">
        <v>67</v>
      </c>
      <c r="CG1" s="4" t="s">
        <v>68</v>
      </c>
      <c r="CH1" s="4" t="s">
        <v>69</v>
      </c>
      <c r="CI1" s="4" t="s">
        <v>70</v>
      </c>
      <c r="CJ1" s="4" t="s">
        <v>71</v>
      </c>
      <c r="CK1" s="4" t="s">
        <v>72</v>
      </c>
      <c r="CL1" s="4" t="s">
        <v>73</v>
      </c>
      <c r="CM1" s="4" t="s">
        <v>74</v>
      </c>
      <c r="CN1" s="4" t="s">
        <v>75</v>
      </c>
      <c r="CO1" s="4" t="s">
        <v>76</v>
      </c>
      <c r="CP1" s="4" t="s">
        <v>77</v>
      </c>
      <c r="CQ1" s="4" t="s">
        <v>78</v>
      </c>
      <c r="CR1" s="4" t="s">
        <v>79</v>
      </c>
      <c r="CS1" s="4" t="s">
        <v>80</v>
      </c>
      <c r="CT1" s="4" t="s">
        <v>81</v>
      </c>
      <c r="CU1" s="4" t="s">
        <v>82</v>
      </c>
      <c r="CV1" s="4" t="s">
        <v>83</v>
      </c>
      <c r="CW1" s="4" t="s">
        <v>84</v>
      </c>
      <c r="CX1" s="4" t="s">
        <v>85</v>
      </c>
      <c r="CY1" s="4" t="s">
        <v>86</v>
      </c>
      <c r="CZ1" s="4" t="s">
        <v>87</v>
      </c>
      <c r="DA1" s="4" t="s">
        <v>88</v>
      </c>
      <c r="DB1" s="4" t="s">
        <v>89</v>
      </c>
    </row>
    <row r="2" spans="1:106">
      <c r="A2" s="6">
        <v>46022</v>
      </c>
      <c r="B2" s="5">
        <v>1026</v>
      </c>
      <c r="C2" s="4">
        <v>418</v>
      </c>
      <c r="D2" s="4">
        <v>0</v>
      </c>
      <c r="E2" s="5">
        <v>42598</v>
      </c>
      <c r="F2" s="5">
        <v>51614</v>
      </c>
      <c r="G2" s="5">
        <v>3728426</v>
      </c>
      <c r="H2" s="4">
        <v>750624</v>
      </c>
      <c r="I2" s="4">
        <v>0</v>
      </c>
      <c r="J2" s="4">
        <v>3988117</v>
      </c>
      <c r="K2" s="4" t="s">
        <v>106</v>
      </c>
      <c r="L2" s="4">
        <v>12273640.029999999</v>
      </c>
      <c r="M2" s="4">
        <v>33014719.890000001</v>
      </c>
      <c r="N2" s="4">
        <v>858749.77</v>
      </c>
      <c r="O2" s="4">
        <v>556</v>
      </c>
      <c r="P2" s="4">
        <v>242</v>
      </c>
      <c r="Q2" s="4">
        <v>0</v>
      </c>
      <c r="R2" s="4">
        <v>210388</v>
      </c>
      <c r="S2" s="4">
        <v>107770</v>
      </c>
      <c r="T2" s="4">
        <v>0</v>
      </c>
      <c r="U2" s="4">
        <v>0</v>
      </c>
      <c r="V2" s="4">
        <v>379</v>
      </c>
      <c r="W2" s="4">
        <v>146391</v>
      </c>
      <c r="X2" s="4">
        <v>317</v>
      </c>
      <c r="Y2" s="4">
        <v>115166</v>
      </c>
      <c r="Z2" s="4">
        <v>36590</v>
      </c>
      <c r="AA2" s="4">
        <v>0</v>
      </c>
      <c r="AB2" s="4">
        <v>83376.7</v>
      </c>
      <c r="AC2" s="4">
        <v>0</v>
      </c>
      <c r="AD2" s="4">
        <v>0</v>
      </c>
      <c r="AE2" s="4">
        <v>5115</v>
      </c>
      <c r="AF2" s="5">
        <v>5526</v>
      </c>
      <c r="AG2" s="4">
        <v>1381</v>
      </c>
      <c r="AH2" s="4">
        <v>0</v>
      </c>
      <c r="AI2" s="4">
        <v>5515182</v>
      </c>
      <c r="AJ2" s="4">
        <v>5404884.3600000003</v>
      </c>
      <c r="AK2" s="4">
        <v>110297.64</v>
      </c>
      <c r="AL2" s="4">
        <v>5146148.84</v>
      </c>
      <c r="AM2" s="4">
        <v>369683.16</v>
      </c>
      <c r="AN2" s="4">
        <v>25194265.109999999</v>
      </c>
      <c r="AO2" s="4">
        <v>26552278.260000002</v>
      </c>
      <c r="AP2" s="4">
        <v>947259.79</v>
      </c>
      <c r="AQ2" s="4">
        <v>33018</v>
      </c>
      <c r="AR2" s="4">
        <v>15508</v>
      </c>
      <c r="AS2" s="4">
        <v>8014</v>
      </c>
      <c r="AT2" s="4">
        <v>138.68</v>
      </c>
      <c r="AU2" s="4">
        <v>12666</v>
      </c>
      <c r="AV2" s="4">
        <v>18927.93</v>
      </c>
      <c r="AW2" s="4">
        <v>41774.239999999998</v>
      </c>
      <c r="AX2" s="4">
        <v>15827</v>
      </c>
      <c r="AY2" s="4">
        <v>0</v>
      </c>
      <c r="AZ2" s="4">
        <v>100000</v>
      </c>
      <c r="BA2" s="4">
        <v>0</v>
      </c>
      <c r="BB2" s="4">
        <v>0</v>
      </c>
      <c r="BC2" s="4">
        <v>0</v>
      </c>
      <c r="BD2" s="4">
        <v>0</v>
      </c>
      <c r="BE2" s="4">
        <v>23082</v>
      </c>
      <c r="BF2" s="4">
        <v>8676</v>
      </c>
      <c r="BG2" s="4">
        <v>17252</v>
      </c>
      <c r="BH2" s="4">
        <v>45516</v>
      </c>
      <c r="BI2" s="4">
        <v>8350</v>
      </c>
      <c r="BK2" s="4">
        <v>53640</v>
      </c>
      <c r="BL2" s="4">
        <v>45712</v>
      </c>
      <c r="BM2" s="4">
        <v>0</v>
      </c>
      <c r="BN2" s="4">
        <v>0</v>
      </c>
      <c r="BO2" s="4">
        <v>0</v>
      </c>
      <c r="BP2" s="4">
        <v>23008</v>
      </c>
      <c r="BQ2" s="4">
        <v>0</v>
      </c>
      <c r="BR2" s="4">
        <v>99500</v>
      </c>
      <c r="BS2" s="4">
        <v>0</v>
      </c>
      <c r="BT2" s="4">
        <v>0</v>
      </c>
      <c r="BU2" s="4">
        <v>214521</v>
      </c>
      <c r="BV2" s="4">
        <v>69564.22</v>
      </c>
      <c r="BW2" s="4">
        <v>0</v>
      </c>
      <c r="BX2" s="4">
        <v>0</v>
      </c>
      <c r="BY2" s="4">
        <v>645</v>
      </c>
      <c r="BZ2" s="4">
        <v>1616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20736</v>
      </c>
      <c r="CQ2" s="4">
        <v>0</v>
      </c>
      <c r="CR2" s="4">
        <v>0</v>
      </c>
      <c r="CS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</row>
    <row r="3" spans="1:106">
      <c r="A3" s="6">
        <v>46021</v>
      </c>
      <c r="B3" s="5">
        <v>889</v>
      </c>
      <c r="C3" s="4">
        <v>406</v>
      </c>
      <c r="D3" s="4">
        <v>0</v>
      </c>
      <c r="E3" s="5">
        <v>43799</v>
      </c>
      <c r="F3" s="5">
        <v>52904</v>
      </c>
      <c r="G3" s="5">
        <v>3763943</v>
      </c>
      <c r="H3" s="4">
        <v>797038</v>
      </c>
      <c r="I3" s="4">
        <v>0</v>
      </c>
      <c r="J3" s="4">
        <v>2871238</v>
      </c>
      <c r="K3" s="4">
        <v>892705</v>
      </c>
      <c r="L3" s="4">
        <v>12043303.25</v>
      </c>
      <c r="M3" s="4">
        <v>33568833.009999998</v>
      </c>
      <c r="N3" s="4">
        <v>827238.87</v>
      </c>
      <c r="O3" s="4">
        <v>505</v>
      </c>
      <c r="P3" s="4">
        <v>218</v>
      </c>
      <c r="Q3" s="4">
        <v>0</v>
      </c>
      <c r="R3" s="4">
        <v>233354</v>
      </c>
      <c r="S3" s="4">
        <v>91974</v>
      </c>
      <c r="T3" s="4">
        <v>0</v>
      </c>
      <c r="U3" s="4">
        <v>0</v>
      </c>
      <c r="V3" s="4">
        <v>356</v>
      </c>
      <c r="W3" s="4">
        <v>126403</v>
      </c>
      <c r="X3" s="4">
        <v>284</v>
      </c>
      <c r="Y3" s="4">
        <v>86951</v>
      </c>
      <c r="Z3" s="4">
        <v>0</v>
      </c>
      <c r="AA3" s="4">
        <v>0</v>
      </c>
      <c r="AB3" s="4">
        <v>85030.54</v>
      </c>
      <c r="AC3" s="4">
        <v>0</v>
      </c>
      <c r="AD3" s="4">
        <v>0</v>
      </c>
      <c r="AE3" s="4">
        <v>63</v>
      </c>
      <c r="AF3" s="5">
        <v>5710</v>
      </c>
      <c r="AG3" s="4">
        <v>1347</v>
      </c>
      <c r="AH3" s="4">
        <v>0</v>
      </c>
      <c r="AI3" s="4">
        <v>5267405</v>
      </c>
      <c r="AJ3" s="4">
        <v>5162078.9000000004</v>
      </c>
      <c r="AK3" s="4">
        <v>105326.1</v>
      </c>
      <c r="AL3" s="4">
        <v>4945327.18</v>
      </c>
      <c r="AM3" s="4">
        <v>320977.82</v>
      </c>
      <c r="AN3" s="4">
        <v>25977188.43</v>
      </c>
      <c r="AO3" s="4">
        <v>27176137.640000001</v>
      </c>
      <c r="AP3" s="4">
        <v>1125290.6000000001</v>
      </c>
      <c r="AQ3" s="4">
        <v>34908</v>
      </c>
      <c r="AR3" s="4">
        <v>13666</v>
      </c>
      <c r="AS3" s="4">
        <v>6536</v>
      </c>
      <c r="AT3" s="4">
        <v>228.4</v>
      </c>
      <c r="AU3" s="4">
        <v>13044</v>
      </c>
      <c r="AV3" s="4">
        <v>19851</v>
      </c>
      <c r="AW3" s="4">
        <v>39282.74</v>
      </c>
      <c r="AX3" s="4">
        <v>14214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11855</v>
      </c>
      <c r="BF3" s="4">
        <v>3096</v>
      </c>
      <c r="BG3" s="4">
        <v>16543</v>
      </c>
      <c r="BH3" s="4">
        <v>61938</v>
      </c>
      <c r="BI3" s="4">
        <v>8810</v>
      </c>
      <c r="BK3" s="4">
        <v>52410</v>
      </c>
      <c r="BL3" s="4">
        <v>27301</v>
      </c>
      <c r="BM3" s="4">
        <v>0</v>
      </c>
      <c r="BN3" s="4">
        <v>0</v>
      </c>
      <c r="BO3" s="4">
        <v>0</v>
      </c>
      <c r="BP3" s="4">
        <v>21414</v>
      </c>
      <c r="BQ3" s="4">
        <v>0</v>
      </c>
      <c r="BR3" s="4">
        <v>70086</v>
      </c>
      <c r="BS3" s="4">
        <v>0</v>
      </c>
      <c r="BT3" s="4">
        <v>0</v>
      </c>
      <c r="BU3" s="4">
        <v>207257</v>
      </c>
      <c r="BV3" s="4">
        <v>87090.19</v>
      </c>
      <c r="BW3" s="4">
        <v>0</v>
      </c>
      <c r="BX3" s="4">
        <v>0</v>
      </c>
      <c r="BY3" s="4">
        <v>43159</v>
      </c>
      <c r="BZ3" s="4">
        <v>1234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14354</v>
      </c>
      <c r="CQ3" s="4">
        <v>0</v>
      </c>
      <c r="CR3" s="4">
        <v>0</v>
      </c>
      <c r="CS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</row>
    <row r="4" spans="1:106">
      <c r="A4" s="6">
        <v>46020</v>
      </c>
      <c r="B4" s="5">
        <v>857</v>
      </c>
      <c r="C4" s="4">
        <v>372</v>
      </c>
      <c r="D4" s="4">
        <v>0</v>
      </c>
      <c r="E4" s="5">
        <v>39657</v>
      </c>
      <c r="F4" s="5">
        <v>48241</v>
      </c>
      <c r="G4" s="5">
        <v>3659918</v>
      </c>
      <c r="H4" s="4">
        <v>858664</v>
      </c>
      <c r="I4" s="4">
        <v>0</v>
      </c>
      <c r="J4" s="4">
        <v>2960478</v>
      </c>
      <c r="K4" s="4">
        <v>699440</v>
      </c>
      <c r="L4" s="4">
        <v>12126048.449999999</v>
      </c>
      <c r="M4" s="4">
        <v>32868739.120000001</v>
      </c>
      <c r="N4" s="4">
        <v>779214.63</v>
      </c>
      <c r="O4" s="4">
        <v>504</v>
      </c>
      <c r="P4" s="4">
        <v>203</v>
      </c>
      <c r="Q4" s="4">
        <v>0</v>
      </c>
      <c r="R4" s="4">
        <v>171901</v>
      </c>
      <c r="S4" s="4">
        <v>74748</v>
      </c>
      <c r="T4" s="4">
        <v>0</v>
      </c>
      <c r="U4" s="4">
        <v>0</v>
      </c>
      <c r="V4" s="4">
        <v>340</v>
      </c>
      <c r="W4" s="4">
        <v>114526</v>
      </c>
      <c r="X4" s="4">
        <v>240</v>
      </c>
      <c r="Y4" s="4">
        <v>94735</v>
      </c>
      <c r="Z4" s="4">
        <v>0</v>
      </c>
      <c r="AA4" s="4">
        <v>0</v>
      </c>
      <c r="AB4" s="4">
        <v>82747.289999999994</v>
      </c>
      <c r="AC4" s="4">
        <v>0</v>
      </c>
      <c r="AD4" s="4">
        <v>0</v>
      </c>
      <c r="AE4" s="4">
        <v>206</v>
      </c>
      <c r="AF4" s="5">
        <v>5829</v>
      </c>
      <c r="AG4" s="4">
        <v>1415</v>
      </c>
      <c r="AH4" s="4">
        <v>0</v>
      </c>
      <c r="AI4" s="4">
        <v>5566893</v>
      </c>
      <c r="AJ4" s="4">
        <v>5455578.1399999997</v>
      </c>
      <c r="AK4" s="4">
        <v>111314.86</v>
      </c>
      <c r="AL4" s="4">
        <v>5216828.38</v>
      </c>
      <c r="AM4" s="4">
        <v>349964.62</v>
      </c>
      <c r="AN4" s="4">
        <v>26472056.07</v>
      </c>
      <c r="AO4" s="4">
        <v>25988476.82</v>
      </c>
      <c r="AP4" s="4">
        <v>1313369.42</v>
      </c>
      <c r="AQ4" s="4">
        <v>27482</v>
      </c>
      <c r="AR4" s="4">
        <v>12180</v>
      </c>
      <c r="AS4" s="4">
        <v>6216</v>
      </c>
      <c r="AT4" s="4">
        <v>54.89</v>
      </c>
      <c r="AU4" s="4">
        <v>12738</v>
      </c>
      <c r="AV4" s="4">
        <v>22674.240000000002</v>
      </c>
      <c r="AW4" s="4">
        <v>45053.49</v>
      </c>
      <c r="AX4" s="4">
        <v>13467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36561</v>
      </c>
      <c r="BF4" s="4">
        <v>3188</v>
      </c>
      <c r="BG4" s="4">
        <v>14629</v>
      </c>
      <c r="BH4" s="4">
        <v>133144</v>
      </c>
      <c r="BI4" s="4">
        <v>8750</v>
      </c>
      <c r="BK4" s="4">
        <v>69630</v>
      </c>
      <c r="BL4" s="4">
        <v>30227</v>
      </c>
      <c r="BM4" s="4">
        <v>0</v>
      </c>
      <c r="BN4" s="4">
        <v>0</v>
      </c>
      <c r="BO4" s="4">
        <v>0</v>
      </c>
      <c r="BP4" s="4">
        <v>20486</v>
      </c>
      <c r="BQ4" s="4">
        <v>0</v>
      </c>
      <c r="BR4" s="4">
        <v>71000</v>
      </c>
      <c r="BS4" s="4">
        <v>0</v>
      </c>
      <c r="BT4" s="4">
        <v>0</v>
      </c>
      <c r="BU4" s="4">
        <v>88836</v>
      </c>
      <c r="BV4" s="4">
        <v>63670.720000000001</v>
      </c>
      <c r="BW4" s="4">
        <v>0</v>
      </c>
      <c r="BX4" s="4">
        <v>0</v>
      </c>
      <c r="BY4" s="4">
        <v>44130</v>
      </c>
      <c r="BZ4" s="4">
        <v>1198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21180</v>
      </c>
      <c r="CQ4" s="4">
        <v>0</v>
      </c>
      <c r="CR4" s="4">
        <v>0</v>
      </c>
      <c r="CS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</row>
    <row r="5" spans="1:106">
      <c r="A5" s="6">
        <v>46019</v>
      </c>
      <c r="B5" s="5">
        <v>990</v>
      </c>
      <c r="C5" s="4">
        <v>437</v>
      </c>
      <c r="D5" s="4">
        <v>0</v>
      </c>
      <c r="E5" s="5">
        <v>39585</v>
      </c>
      <c r="F5" s="5">
        <v>48113</v>
      </c>
      <c r="G5" s="5">
        <v>3623704</v>
      </c>
      <c r="H5" s="4">
        <v>763948</v>
      </c>
      <c r="I5" s="4">
        <v>0</v>
      </c>
      <c r="J5" s="4">
        <v>3132122</v>
      </c>
      <c r="K5" s="4">
        <v>491582</v>
      </c>
      <c r="L5" s="4">
        <v>12024010.6</v>
      </c>
      <c r="M5" s="4">
        <v>35093178.399999999</v>
      </c>
      <c r="N5" s="4">
        <v>643076.17000000004</v>
      </c>
      <c r="O5" s="4">
        <v>510</v>
      </c>
      <c r="P5" s="4">
        <v>215</v>
      </c>
      <c r="Q5" s="4">
        <v>0</v>
      </c>
      <c r="R5" s="4">
        <v>204788</v>
      </c>
      <c r="S5" s="4">
        <v>83685</v>
      </c>
      <c r="T5" s="4">
        <v>0</v>
      </c>
      <c r="U5" s="4">
        <v>0</v>
      </c>
      <c r="V5" s="4">
        <v>356</v>
      </c>
      <c r="W5" s="4">
        <v>115591</v>
      </c>
      <c r="X5" s="4">
        <v>247</v>
      </c>
      <c r="Y5" s="4">
        <v>139111</v>
      </c>
      <c r="Z5" s="4">
        <v>0</v>
      </c>
      <c r="AA5" s="4">
        <v>0</v>
      </c>
      <c r="AB5" s="4">
        <v>85138.85</v>
      </c>
      <c r="AC5" s="4">
        <v>0</v>
      </c>
      <c r="AD5" s="4">
        <v>0</v>
      </c>
      <c r="AE5" s="4">
        <v>204</v>
      </c>
      <c r="AF5" s="5">
        <v>5110</v>
      </c>
      <c r="AG5" s="4">
        <v>1308</v>
      </c>
      <c r="AH5" s="4">
        <v>0</v>
      </c>
      <c r="AI5" s="4">
        <v>5487109</v>
      </c>
      <c r="AJ5" s="4">
        <v>5377397.8200000003</v>
      </c>
      <c r="AK5" s="4">
        <v>109711.18</v>
      </c>
      <c r="AL5" s="4">
        <v>5132797.7699999996</v>
      </c>
      <c r="AM5" s="4">
        <v>354361.23</v>
      </c>
      <c r="AN5" s="4">
        <v>28691165.030000001</v>
      </c>
      <c r="AO5" s="4">
        <v>28829890.239999998</v>
      </c>
      <c r="AP5" s="4">
        <v>776179.37</v>
      </c>
      <c r="AQ5" s="4">
        <v>31690</v>
      </c>
      <c r="AR5" s="4">
        <v>12876</v>
      </c>
      <c r="AS5" s="4">
        <v>8554</v>
      </c>
      <c r="AT5" s="4">
        <v>112.88</v>
      </c>
      <c r="AU5" s="4">
        <v>13074</v>
      </c>
      <c r="AV5" s="4">
        <v>15497.44</v>
      </c>
      <c r="AW5" s="4">
        <v>38034.92</v>
      </c>
      <c r="AX5" s="4">
        <v>15793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71849</v>
      </c>
      <c r="BF5" s="4">
        <v>4550</v>
      </c>
      <c r="BG5" s="4">
        <v>14075</v>
      </c>
      <c r="BH5" s="4">
        <v>19990</v>
      </c>
      <c r="BI5" s="4">
        <v>6540</v>
      </c>
      <c r="BK5" s="4">
        <v>53310</v>
      </c>
      <c r="BL5" s="4">
        <v>44932</v>
      </c>
      <c r="BM5" s="4">
        <v>0</v>
      </c>
      <c r="BN5" s="4">
        <v>0</v>
      </c>
      <c r="BO5" s="4">
        <v>0</v>
      </c>
      <c r="BP5" s="4">
        <v>20758</v>
      </c>
      <c r="BQ5" s="4">
        <v>16</v>
      </c>
      <c r="BR5" s="4">
        <v>80688</v>
      </c>
      <c r="BS5" s="4">
        <v>0</v>
      </c>
      <c r="BT5" s="4">
        <v>0</v>
      </c>
      <c r="BU5" s="4">
        <v>60158</v>
      </c>
      <c r="BV5" s="4">
        <v>73350.080000000002</v>
      </c>
      <c r="BW5" s="4">
        <v>0</v>
      </c>
      <c r="BX5" s="4">
        <v>0</v>
      </c>
      <c r="BY5" s="4">
        <v>40741</v>
      </c>
      <c r="BZ5" s="4">
        <v>1936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17054</v>
      </c>
      <c r="CQ5" s="4">
        <v>0</v>
      </c>
      <c r="CR5" s="4">
        <v>0</v>
      </c>
      <c r="CS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</row>
    <row r="6" spans="1:106">
      <c r="A6" s="6">
        <v>46018</v>
      </c>
      <c r="B6" s="5">
        <v>1021</v>
      </c>
      <c r="C6" s="4">
        <v>450</v>
      </c>
      <c r="D6" s="4">
        <v>0</v>
      </c>
      <c r="E6" s="5">
        <v>38993</v>
      </c>
      <c r="F6" s="5">
        <v>48504</v>
      </c>
      <c r="G6" s="5">
        <v>4023666</v>
      </c>
      <c r="H6" s="4">
        <v>816053</v>
      </c>
      <c r="I6" s="4">
        <v>0</v>
      </c>
      <c r="J6" s="4">
        <v>3255723</v>
      </c>
      <c r="K6" s="4">
        <v>767943</v>
      </c>
      <c r="L6" s="4">
        <v>11945745.710000001</v>
      </c>
      <c r="M6" s="4">
        <v>29130846.789999999</v>
      </c>
      <c r="N6" s="4">
        <v>705417.85</v>
      </c>
      <c r="O6" s="4">
        <v>580</v>
      </c>
      <c r="P6" s="4">
        <v>252</v>
      </c>
      <c r="Q6" s="4">
        <v>0</v>
      </c>
      <c r="R6" s="4">
        <v>314754</v>
      </c>
      <c r="S6" s="4">
        <v>140585</v>
      </c>
      <c r="T6" s="4">
        <v>0</v>
      </c>
      <c r="U6" s="4">
        <v>0</v>
      </c>
      <c r="V6" s="4">
        <v>373</v>
      </c>
      <c r="W6" s="4">
        <v>173232</v>
      </c>
      <c r="X6" s="4">
        <v>263</v>
      </c>
      <c r="Y6" s="4">
        <v>127800</v>
      </c>
      <c r="Z6" s="4">
        <v>0</v>
      </c>
      <c r="AA6" s="4">
        <v>0</v>
      </c>
      <c r="AB6" s="4">
        <v>89994.85</v>
      </c>
      <c r="AC6" s="4">
        <v>0</v>
      </c>
      <c r="AD6" s="4">
        <v>0</v>
      </c>
      <c r="AE6" s="4">
        <v>152</v>
      </c>
      <c r="AF6" s="5">
        <v>5331</v>
      </c>
      <c r="AG6" s="4">
        <v>1416</v>
      </c>
      <c r="AH6" s="4">
        <v>0</v>
      </c>
      <c r="AI6" s="4">
        <v>5428222</v>
      </c>
      <c r="AJ6" s="4">
        <v>5319686.5599999996</v>
      </c>
      <c r="AK6" s="4">
        <v>108535.44</v>
      </c>
      <c r="AL6" s="4">
        <v>5060248.18</v>
      </c>
      <c r="AM6" s="4">
        <v>368423.82</v>
      </c>
      <c r="AN6" s="4">
        <v>22841431.109999999</v>
      </c>
      <c r="AO6" s="4">
        <v>22998529.75</v>
      </c>
      <c r="AP6" s="4">
        <v>704095.2</v>
      </c>
      <c r="AQ6" s="4">
        <v>46678</v>
      </c>
      <c r="AR6" s="4">
        <v>17778</v>
      </c>
      <c r="AS6" s="4">
        <v>8026</v>
      </c>
      <c r="AT6" s="4">
        <v>105.2</v>
      </c>
      <c r="AU6" s="4">
        <v>13254</v>
      </c>
      <c r="AV6" s="4">
        <v>15674.12</v>
      </c>
      <c r="AW6" s="4">
        <v>40970.300000000003</v>
      </c>
      <c r="AX6" s="4">
        <v>15174</v>
      </c>
      <c r="AY6" s="4">
        <v>0</v>
      </c>
      <c r="AZ6" s="4">
        <v>0</v>
      </c>
      <c r="BA6" s="4">
        <v>0</v>
      </c>
      <c r="BB6" s="4">
        <v>0</v>
      </c>
      <c r="BC6" s="4">
        <v>490</v>
      </c>
      <c r="BD6" s="4">
        <v>0</v>
      </c>
      <c r="BE6" s="4">
        <v>20971</v>
      </c>
      <c r="BF6" s="4">
        <v>5874</v>
      </c>
      <c r="BG6" s="4">
        <v>14297</v>
      </c>
      <c r="BH6" s="4">
        <v>23324</v>
      </c>
      <c r="BI6" s="4">
        <v>8900</v>
      </c>
      <c r="BK6" s="4">
        <v>56880</v>
      </c>
      <c r="BL6" s="4">
        <v>27999</v>
      </c>
      <c r="BM6" s="4">
        <v>0</v>
      </c>
      <c r="BN6" s="4">
        <v>0</v>
      </c>
      <c r="BO6" s="4">
        <v>0</v>
      </c>
      <c r="BP6" s="4">
        <v>21882</v>
      </c>
      <c r="BQ6" s="4">
        <v>0</v>
      </c>
      <c r="BR6" s="4">
        <v>82688</v>
      </c>
      <c r="BS6" s="4">
        <v>0</v>
      </c>
      <c r="BT6" s="4">
        <v>0</v>
      </c>
      <c r="BU6" s="4">
        <v>98627</v>
      </c>
      <c r="BV6" s="4">
        <v>66587.38</v>
      </c>
      <c r="BW6" s="4">
        <v>0</v>
      </c>
      <c r="BX6" s="4">
        <v>0</v>
      </c>
      <c r="BY6" s="4">
        <v>46567</v>
      </c>
      <c r="BZ6" s="4">
        <v>1332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17490</v>
      </c>
      <c r="CQ6" s="4">
        <v>0</v>
      </c>
      <c r="CR6" s="4">
        <v>0</v>
      </c>
      <c r="CS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</row>
    <row r="7" spans="1:106">
      <c r="A7" s="6">
        <v>46017</v>
      </c>
      <c r="B7" s="5">
        <v>979</v>
      </c>
      <c r="C7" s="4">
        <v>411</v>
      </c>
      <c r="D7" s="4">
        <v>0</v>
      </c>
      <c r="E7" s="5">
        <v>38899</v>
      </c>
      <c r="F7" s="5">
        <v>48218</v>
      </c>
      <c r="G7" s="5">
        <v>3595568</v>
      </c>
      <c r="H7" s="4">
        <v>859815</v>
      </c>
      <c r="I7" s="4">
        <v>0</v>
      </c>
      <c r="J7" s="4">
        <v>3278977</v>
      </c>
      <c r="K7" s="4">
        <v>316591</v>
      </c>
      <c r="L7" s="4">
        <v>12006265.800000001</v>
      </c>
      <c r="M7" s="4">
        <v>28511741.850000001</v>
      </c>
      <c r="N7" s="4">
        <v>746089.15</v>
      </c>
      <c r="O7" s="4">
        <v>560</v>
      </c>
      <c r="P7" s="4">
        <v>226</v>
      </c>
      <c r="Q7" s="4">
        <v>0</v>
      </c>
      <c r="R7" s="4">
        <v>201669</v>
      </c>
      <c r="S7" s="4">
        <v>96252</v>
      </c>
      <c r="T7" s="4">
        <v>0</v>
      </c>
      <c r="U7" s="4">
        <v>0</v>
      </c>
      <c r="V7" s="4">
        <v>340</v>
      </c>
      <c r="W7" s="4">
        <v>123080</v>
      </c>
      <c r="X7" s="4">
        <v>319</v>
      </c>
      <c r="Y7" s="4">
        <v>127922</v>
      </c>
      <c r="Z7" s="4">
        <v>66842</v>
      </c>
      <c r="AA7" s="4">
        <v>0</v>
      </c>
      <c r="AB7" s="4">
        <v>80729.27</v>
      </c>
      <c r="AC7" s="4">
        <v>0</v>
      </c>
      <c r="AD7" s="4">
        <v>0</v>
      </c>
      <c r="AE7" s="4">
        <v>171</v>
      </c>
      <c r="AF7" s="5">
        <v>5673</v>
      </c>
      <c r="AG7" s="4">
        <v>1476</v>
      </c>
      <c r="AH7" s="4">
        <v>0</v>
      </c>
      <c r="AI7" s="4">
        <v>5482494</v>
      </c>
      <c r="AJ7" s="4">
        <v>5372878.1200000001</v>
      </c>
      <c r="AK7" s="4">
        <v>109615.88</v>
      </c>
      <c r="AL7" s="4">
        <v>5130672.7</v>
      </c>
      <c r="AM7" s="4">
        <v>351371.3</v>
      </c>
      <c r="AN7" s="4">
        <v>22248922.5</v>
      </c>
      <c r="AO7" s="4">
        <v>22136871.710000001</v>
      </c>
      <c r="AP7" s="4">
        <v>892376.27</v>
      </c>
      <c r="AQ7" s="4">
        <v>32172</v>
      </c>
      <c r="AR7" s="4">
        <v>12460</v>
      </c>
      <c r="AS7" s="4">
        <v>8682</v>
      </c>
      <c r="AT7" s="4">
        <v>237.96</v>
      </c>
      <c r="AU7" s="4">
        <v>13488</v>
      </c>
      <c r="AV7" s="4">
        <v>19695.32</v>
      </c>
      <c r="AW7" s="4">
        <v>46280.54</v>
      </c>
      <c r="AX7" s="4">
        <v>15722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24349</v>
      </c>
      <c r="BF7" s="4">
        <v>5088</v>
      </c>
      <c r="BG7" s="4">
        <v>14820</v>
      </c>
      <c r="BH7" s="4">
        <v>30114</v>
      </c>
      <c r="BI7" s="4">
        <v>9160</v>
      </c>
      <c r="BK7" s="4">
        <v>54210</v>
      </c>
      <c r="BL7" s="4">
        <v>28555</v>
      </c>
      <c r="BM7" s="4">
        <v>0</v>
      </c>
      <c r="BN7" s="4">
        <v>0</v>
      </c>
      <c r="BO7" s="4">
        <v>0</v>
      </c>
      <c r="BP7" s="4">
        <v>22610</v>
      </c>
      <c r="BQ7" s="4">
        <v>0</v>
      </c>
      <c r="BR7" s="4">
        <v>88688</v>
      </c>
      <c r="BS7" s="4">
        <v>0</v>
      </c>
      <c r="BT7" s="4">
        <v>0</v>
      </c>
      <c r="BU7" s="4">
        <v>115874</v>
      </c>
      <c r="BV7" s="4">
        <v>74821.06</v>
      </c>
      <c r="BW7" s="4">
        <v>0</v>
      </c>
      <c r="BX7" s="4">
        <v>0</v>
      </c>
      <c r="BY7" s="4">
        <v>0</v>
      </c>
      <c r="BZ7" s="4">
        <v>1764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19798</v>
      </c>
      <c r="CQ7" s="4">
        <v>0</v>
      </c>
      <c r="CR7" s="4">
        <v>0</v>
      </c>
      <c r="CS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</row>
    <row r="8" spans="1:106">
      <c r="A8" s="6">
        <v>46016</v>
      </c>
      <c r="B8" s="5">
        <v>969</v>
      </c>
      <c r="C8" s="4">
        <v>413</v>
      </c>
      <c r="D8" s="4">
        <v>0</v>
      </c>
      <c r="E8" s="5">
        <v>40653</v>
      </c>
      <c r="F8" s="5">
        <v>50802</v>
      </c>
      <c r="G8" s="5">
        <v>4319479</v>
      </c>
      <c r="H8" s="4">
        <v>853673</v>
      </c>
      <c r="I8" s="4">
        <v>0</v>
      </c>
      <c r="J8" s="4">
        <v>4043286</v>
      </c>
      <c r="K8" s="4">
        <v>276193</v>
      </c>
      <c r="L8" s="4">
        <v>12005491.939999999</v>
      </c>
      <c r="M8" s="4">
        <v>35594089.759999998</v>
      </c>
      <c r="N8" s="4">
        <v>1217604.76</v>
      </c>
      <c r="O8" s="4">
        <v>488</v>
      </c>
      <c r="P8" s="4">
        <v>211</v>
      </c>
      <c r="Q8" s="4">
        <v>0</v>
      </c>
      <c r="R8" s="4">
        <v>179967</v>
      </c>
      <c r="S8" s="4">
        <v>92154</v>
      </c>
      <c r="T8" s="4">
        <v>0</v>
      </c>
      <c r="U8" s="4">
        <v>0</v>
      </c>
      <c r="V8" s="4">
        <v>394</v>
      </c>
      <c r="W8" s="4">
        <v>109357</v>
      </c>
      <c r="X8" s="4">
        <v>347</v>
      </c>
      <c r="Y8" s="4">
        <v>106779</v>
      </c>
      <c r="Z8" s="4">
        <v>78714</v>
      </c>
      <c r="AA8" s="4">
        <v>0</v>
      </c>
      <c r="AB8" s="4">
        <v>105842.32</v>
      </c>
      <c r="AC8" s="4">
        <v>0</v>
      </c>
      <c r="AD8" s="4">
        <v>0</v>
      </c>
      <c r="AE8" s="4">
        <v>278</v>
      </c>
      <c r="AF8" s="5">
        <v>7520</v>
      </c>
      <c r="AG8" s="4">
        <v>1853</v>
      </c>
      <c r="AH8" s="4">
        <v>0</v>
      </c>
      <c r="AI8" s="4">
        <v>6884969</v>
      </c>
      <c r="AJ8" s="4">
        <v>6747287.6200000001</v>
      </c>
      <c r="AK8" s="4">
        <v>137681.38</v>
      </c>
      <c r="AL8" s="4">
        <v>6452681.5599999996</v>
      </c>
      <c r="AM8" s="4">
        <v>432837.44</v>
      </c>
      <c r="AN8" s="4">
        <v>27813534.18</v>
      </c>
      <c r="AO8" s="4">
        <v>27727152.579999998</v>
      </c>
      <c r="AP8" s="4">
        <v>981968.34</v>
      </c>
      <c r="AQ8" s="4">
        <v>28428</v>
      </c>
      <c r="AR8" s="4">
        <v>12844</v>
      </c>
      <c r="AS8" s="4">
        <v>7550</v>
      </c>
      <c r="AT8" s="4">
        <v>34.840000000000003</v>
      </c>
      <c r="AU8" s="4">
        <v>15072</v>
      </c>
      <c r="AV8" s="4">
        <v>16865.84</v>
      </c>
      <c r="AW8" s="4">
        <v>41785.81</v>
      </c>
      <c r="AX8" s="4">
        <v>17143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62954</v>
      </c>
      <c r="BF8" s="4">
        <v>4660</v>
      </c>
      <c r="BG8" s="4">
        <v>16988</v>
      </c>
      <c r="BH8" s="4">
        <v>44402</v>
      </c>
      <c r="BI8" s="4">
        <v>9480</v>
      </c>
      <c r="BK8" s="4">
        <v>61720</v>
      </c>
      <c r="BL8" s="4">
        <v>42241</v>
      </c>
      <c r="BM8" s="4">
        <v>0</v>
      </c>
      <c r="BN8" s="4">
        <v>0</v>
      </c>
      <c r="BO8" s="4">
        <v>0</v>
      </c>
      <c r="BP8" s="4">
        <v>27432</v>
      </c>
      <c r="BQ8" s="4">
        <v>319438</v>
      </c>
      <c r="BR8" s="4">
        <v>87688</v>
      </c>
      <c r="BS8" s="4">
        <v>0</v>
      </c>
      <c r="BT8" s="4">
        <v>0</v>
      </c>
      <c r="BU8" s="4">
        <v>138602</v>
      </c>
      <c r="BV8" s="4">
        <v>77636.95</v>
      </c>
      <c r="BW8" s="4">
        <v>0</v>
      </c>
      <c r="BX8" s="4">
        <v>0</v>
      </c>
      <c r="BY8" s="4">
        <v>0</v>
      </c>
      <c r="BZ8" s="4">
        <v>1990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61410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16780</v>
      </c>
      <c r="CQ8" s="4">
        <v>0</v>
      </c>
      <c r="CR8" s="4">
        <v>0</v>
      </c>
      <c r="CS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</row>
    <row r="9" spans="1:106">
      <c r="A9" s="6">
        <v>46015</v>
      </c>
      <c r="B9" s="5">
        <v>956</v>
      </c>
      <c r="C9" s="4">
        <v>411</v>
      </c>
      <c r="D9" s="4">
        <v>0</v>
      </c>
      <c r="E9" s="5">
        <v>45351</v>
      </c>
      <c r="F9" s="5">
        <v>52020</v>
      </c>
      <c r="G9" s="5">
        <v>3949513</v>
      </c>
      <c r="H9" s="4">
        <v>804932</v>
      </c>
      <c r="I9" s="4">
        <v>0</v>
      </c>
      <c r="J9" s="4">
        <v>3290980</v>
      </c>
      <c r="K9" s="4">
        <v>658533</v>
      </c>
      <c r="L9" s="4">
        <v>12076578.27</v>
      </c>
      <c r="M9" s="4">
        <v>32558955.109999999</v>
      </c>
      <c r="N9" s="4">
        <v>939522.68</v>
      </c>
      <c r="O9" s="4">
        <v>535</v>
      </c>
      <c r="P9" s="4">
        <v>226</v>
      </c>
      <c r="Q9" s="4">
        <v>0</v>
      </c>
      <c r="R9" s="4">
        <v>209029</v>
      </c>
      <c r="S9" s="4">
        <v>86352</v>
      </c>
      <c r="T9" s="4">
        <v>0</v>
      </c>
      <c r="U9" s="4">
        <v>0</v>
      </c>
      <c r="V9" s="4">
        <v>332</v>
      </c>
      <c r="W9" s="4">
        <v>116543</v>
      </c>
      <c r="X9" s="4">
        <v>241</v>
      </c>
      <c r="Y9" s="4">
        <v>81120</v>
      </c>
      <c r="Z9" s="4">
        <v>33808</v>
      </c>
      <c r="AA9" s="4">
        <v>0</v>
      </c>
      <c r="AB9" s="4">
        <v>94453.74</v>
      </c>
      <c r="AC9" s="4">
        <v>0</v>
      </c>
      <c r="AD9" s="4">
        <v>0</v>
      </c>
      <c r="AE9" s="4">
        <v>140</v>
      </c>
      <c r="AF9" s="5">
        <v>5552</v>
      </c>
      <c r="AG9" s="4">
        <v>1429</v>
      </c>
      <c r="AH9" s="4">
        <v>0</v>
      </c>
      <c r="AI9" s="4">
        <v>6185301</v>
      </c>
      <c r="AJ9" s="4">
        <v>6061616.9800000004</v>
      </c>
      <c r="AK9" s="4">
        <v>123684.02</v>
      </c>
      <c r="AL9" s="4">
        <v>5802306.5099999998</v>
      </c>
      <c r="AM9" s="4">
        <v>382144.49</v>
      </c>
      <c r="AN9" s="4">
        <v>25331985.16</v>
      </c>
      <c r="AO9" s="4">
        <v>25012665.210000001</v>
      </c>
      <c r="AP9" s="4">
        <v>1360989.11</v>
      </c>
      <c r="AQ9" s="4">
        <v>33418</v>
      </c>
      <c r="AR9" s="4">
        <v>12522</v>
      </c>
      <c r="AS9" s="4">
        <v>5674</v>
      </c>
      <c r="AT9" s="4">
        <v>30.09</v>
      </c>
      <c r="AU9" s="4">
        <v>13788</v>
      </c>
      <c r="AV9" s="4">
        <v>15917.23</v>
      </c>
      <c r="AW9" s="4">
        <v>38159.599999999999</v>
      </c>
      <c r="AX9" s="4">
        <v>15727</v>
      </c>
      <c r="AY9" s="4">
        <v>0</v>
      </c>
      <c r="AZ9" s="4">
        <v>0</v>
      </c>
      <c r="BA9" s="4">
        <v>0</v>
      </c>
      <c r="BB9" s="4">
        <v>0</v>
      </c>
      <c r="BC9" s="4">
        <v>336</v>
      </c>
      <c r="BD9" s="4">
        <v>0</v>
      </c>
      <c r="BE9" s="4">
        <v>23910</v>
      </c>
      <c r="BF9" s="4">
        <v>5194</v>
      </c>
      <c r="BG9" s="4">
        <v>14987</v>
      </c>
      <c r="BH9" s="4">
        <v>44554</v>
      </c>
      <c r="BI9" s="4">
        <v>11140</v>
      </c>
      <c r="BK9" s="4">
        <v>52380</v>
      </c>
      <c r="BL9" s="4">
        <v>42763</v>
      </c>
      <c r="BM9" s="4">
        <v>0</v>
      </c>
      <c r="BN9" s="4">
        <v>0</v>
      </c>
      <c r="BO9" s="4">
        <v>0</v>
      </c>
      <c r="BP9" s="4">
        <v>24192</v>
      </c>
      <c r="BQ9" s="4">
        <v>16</v>
      </c>
      <c r="BR9" s="4">
        <v>83500</v>
      </c>
      <c r="BS9" s="4">
        <v>0</v>
      </c>
      <c r="BT9" s="4">
        <v>0</v>
      </c>
      <c r="BU9" s="4">
        <v>108753</v>
      </c>
      <c r="BV9" s="4">
        <v>73839.02</v>
      </c>
      <c r="BW9" s="4">
        <v>0</v>
      </c>
      <c r="BX9" s="4">
        <v>0</v>
      </c>
      <c r="BY9" s="4">
        <v>0</v>
      </c>
      <c r="BZ9" s="4">
        <v>2146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204560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23392</v>
      </c>
      <c r="CQ9" s="4">
        <v>0</v>
      </c>
      <c r="CR9" s="4">
        <v>0</v>
      </c>
      <c r="CS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</row>
    <row r="10" spans="1:106">
      <c r="A10" s="6">
        <v>46014</v>
      </c>
      <c r="B10" s="5">
        <v>931</v>
      </c>
      <c r="C10" s="4">
        <v>396</v>
      </c>
      <c r="D10" s="4">
        <v>0</v>
      </c>
      <c r="E10" s="5">
        <v>38535</v>
      </c>
      <c r="F10" s="5">
        <v>46636</v>
      </c>
      <c r="G10" s="5">
        <v>3663067</v>
      </c>
      <c r="H10" s="4">
        <v>726782</v>
      </c>
      <c r="I10" s="4">
        <v>0</v>
      </c>
      <c r="J10" s="4">
        <v>3253011</v>
      </c>
      <c r="K10" s="4">
        <v>410056</v>
      </c>
      <c r="L10" s="4">
        <v>12185442.390000001</v>
      </c>
      <c r="M10" s="4">
        <v>30101895.670000002</v>
      </c>
      <c r="N10" s="4">
        <v>759035.45</v>
      </c>
      <c r="O10" s="4">
        <v>549</v>
      </c>
      <c r="P10" s="4">
        <v>232</v>
      </c>
      <c r="Q10" s="4">
        <v>0</v>
      </c>
      <c r="R10" s="4">
        <v>213230</v>
      </c>
      <c r="S10" s="4">
        <v>90593</v>
      </c>
      <c r="T10" s="4">
        <v>0</v>
      </c>
      <c r="U10" s="4">
        <v>0</v>
      </c>
      <c r="V10" s="4">
        <v>343</v>
      </c>
      <c r="W10" s="4">
        <v>109384</v>
      </c>
      <c r="X10" s="4">
        <v>304</v>
      </c>
      <c r="Y10" s="4">
        <v>108633</v>
      </c>
      <c r="Z10" s="4">
        <v>0</v>
      </c>
      <c r="AA10" s="4">
        <v>0</v>
      </c>
      <c r="AB10" s="4">
        <v>82528.58</v>
      </c>
      <c r="AC10" s="4">
        <v>0</v>
      </c>
      <c r="AD10" s="4">
        <v>0</v>
      </c>
      <c r="AE10" s="4">
        <v>196</v>
      </c>
      <c r="AF10" s="5">
        <v>5785</v>
      </c>
      <c r="AG10" s="4">
        <v>1387</v>
      </c>
      <c r="AH10" s="4">
        <v>0</v>
      </c>
      <c r="AI10" s="4">
        <v>5320702</v>
      </c>
      <c r="AJ10" s="4">
        <v>5214289.96</v>
      </c>
      <c r="AK10" s="4">
        <v>106412.04</v>
      </c>
      <c r="AL10" s="4">
        <v>4974757.9400000004</v>
      </c>
      <c r="AM10" s="4">
        <v>346044.06</v>
      </c>
      <c r="AN10" s="4">
        <v>23915074.129999999</v>
      </c>
      <c r="AO10" s="4">
        <v>23716225.120000001</v>
      </c>
      <c r="AP10" s="4">
        <v>1064968.73</v>
      </c>
      <c r="AQ10" s="4">
        <v>33786</v>
      </c>
      <c r="AR10" s="4">
        <v>11938</v>
      </c>
      <c r="AS10" s="4">
        <v>7536</v>
      </c>
      <c r="AT10" s="4">
        <v>68.3</v>
      </c>
      <c r="AU10" s="4">
        <v>14952</v>
      </c>
      <c r="AV10" s="4">
        <v>17917.28</v>
      </c>
      <c r="AW10" s="4">
        <v>35861.79</v>
      </c>
      <c r="AX10" s="4">
        <v>18714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35978</v>
      </c>
      <c r="BF10" s="4">
        <v>4212</v>
      </c>
      <c r="BG10" s="4">
        <v>14227</v>
      </c>
      <c r="BH10" s="4">
        <v>60484</v>
      </c>
      <c r="BI10" s="4">
        <v>10060</v>
      </c>
      <c r="BK10" s="4">
        <v>48210</v>
      </c>
      <c r="BL10" s="4">
        <v>26142</v>
      </c>
      <c r="BM10" s="4">
        <v>0</v>
      </c>
      <c r="BN10" s="4">
        <v>0</v>
      </c>
      <c r="BO10" s="4">
        <v>0</v>
      </c>
      <c r="BP10" s="4">
        <v>22750</v>
      </c>
      <c r="BQ10" s="4">
        <v>42</v>
      </c>
      <c r="BR10" s="4">
        <v>88188</v>
      </c>
      <c r="BS10" s="4">
        <v>0</v>
      </c>
      <c r="BT10" s="4">
        <v>0</v>
      </c>
      <c r="BU10" s="4">
        <v>147061</v>
      </c>
      <c r="BV10" s="4">
        <v>65021.5</v>
      </c>
      <c r="BW10" s="4">
        <v>0</v>
      </c>
      <c r="BX10" s="4">
        <v>0</v>
      </c>
      <c r="BY10" s="4">
        <v>45150</v>
      </c>
      <c r="BZ10" s="4">
        <v>1590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21310</v>
      </c>
      <c r="CQ10" s="4">
        <v>0</v>
      </c>
      <c r="CR10" s="4">
        <v>0</v>
      </c>
      <c r="CS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</row>
    <row r="11" spans="1:106">
      <c r="A11" s="6">
        <v>46013</v>
      </c>
      <c r="B11" s="5">
        <v>1534</v>
      </c>
      <c r="C11" s="4">
        <v>404</v>
      </c>
      <c r="D11" s="4">
        <v>0</v>
      </c>
      <c r="E11" s="5">
        <v>45310</v>
      </c>
      <c r="F11" s="5">
        <v>54922</v>
      </c>
      <c r="G11" s="5">
        <v>3694844</v>
      </c>
      <c r="H11" s="4">
        <v>703657</v>
      </c>
      <c r="I11" s="4">
        <v>0</v>
      </c>
      <c r="J11" s="4">
        <v>3182256</v>
      </c>
      <c r="K11" s="4">
        <v>512588</v>
      </c>
      <c r="L11" s="4">
        <v>11754918.529999999</v>
      </c>
      <c r="M11" s="4">
        <v>31111769.329999998</v>
      </c>
      <c r="N11" s="4">
        <v>823544.05</v>
      </c>
      <c r="O11" s="4">
        <v>527</v>
      </c>
      <c r="P11" s="4">
        <v>209</v>
      </c>
      <c r="Q11" s="4">
        <v>0</v>
      </c>
      <c r="R11" s="4">
        <v>190554</v>
      </c>
      <c r="S11" s="4">
        <v>77518</v>
      </c>
      <c r="T11" s="4">
        <v>0</v>
      </c>
      <c r="U11" s="4">
        <v>0</v>
      </c>
      <c r="V11" s="4">
        <v>282</v>
      </c>
      <c r="W11" s="4">
        <v>86810</v>
      </c>
      <c r="X11" s="4">
        <v>275</v>
      </c>
      <c r="Y11" s="4">
        <v>98577</v>
      </c>
      <c r="Z11" s="4">
        <v>0</v>
      </c>
      <c r="AA11" s="4">
        <v>0</v>
      </c>
      <c r="AB11" s="4">
        <v>82628.72</v>
      </c>
      <c r="AC11" s="4">
        <v>0</v>
      </c>
      <c r="AD11" s="4">
        <v>0</v>
      </c>
      <c r="AE11" s="4">
        <v>223</v>
      </c>
      <c r="AF11" s="5">
        <v>6300</v>
      </c>
      <c r="AG11" s="4">
        <v>1488</v>
      </c>
      <c r="AH11" s="4">
        <v>0</v>
      </c>
      <c r="AI11" s="4">
        <v>4962386</v>
      </c>
      <c r="AJ11" s="4">
        <v>4863151.28</v>
      </c>
      <c r="AK11" s="4">
        <v>99234.72</v>
      </c>
      <c r="AL11" s="4">
        <v>4646534.9400000004</v>
      </c>
      <c r="AM11" s="4">
        <v>315651.06</v>
      </c>
      <c r="AN11" s="4">
        <v>25274168.039999999</v>
      </c>
      <c r="AO11" s="4">
        <v>25489311.030000001</v>
      </c>
      <c r="AP11" s="4">
        <v>660072.67000000004</v>
      </c>
      <c r="AQ11" s="4">
        <v>30076</v>
      </c>
      <c r="AR11" s="4">
        <v>9892</v>
      </c>
      <c r="AS11" s="4">
        <v>6478</v>
      </c>
      <c r="AT11" s="4">
        <v>30.29</v>
      </c>
      <c r="AU11" s="4">
        <v>14748</v>
      </c>
      <c r="AV11" s="4">
        <v>16669.78</v>
      </c>
      <c r="AW11" s="4">
        <v>38037.53</v>
      </c>
      <c r="AX11" s="4">
        <v>13843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32566</v>
      </c>
      <c r="BF11" s="4">
        <v>5212</v>
      </c>
      <c r="BG11" s="4">
        <v>15326</v>
      </c>
      <c r="BH11" s="4">
        <v>138570</v>
      </c>
      <c r="BI11" s="4">
        <v>11130</v>
      </c>
      <c r="BK11" s="4">
        <v>64190</v>
      </c>
      <c r="BL11" s="4">
        <v>25100</v>
      </c>
      <c r="BM11" s="4">
        <v>0</v>
      </c>
      <c r="BN11" s="4">
        <v>0</v>
      </c>
      <c r="BO11" s="4">
        <v>0</v>
      </c>
      <c r="BP11" s="4">
        <v>22184</v>
      </c>
      <c r="BQ11" s="4">
        <v>0</v>
      </c>
      <c r="BR11" s="4">
        <v>77500</v>
      </c>
      <c r="BS11" s="4">
        <v>0</v>
      </c>
      <c r="BT11" s="4">
        <v>0</v>
      </c>
      <c r="BU11" s="4">
        <v>116356</v>
      </c>
      <c r="BV11" s="4">
        <v>81427.73</v>
      </c>
      <c r="BW11" s="4">
        <v>0</v>
      </c>
      <c r="BX11" s="4">
        <v>0</v>
      </c>
      <c r="BY11" s="4">
        <v>42016</v>
      </c>
      <c r="BZ11" s="4">
        <v>1312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24660</v>
      </c>
      <c r="CQ11" s="4">
        <v>0</v>
      </c>
      <c r="CR11" s="4">
        <v>0</v>
      </c>
      <c r="CS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</row>
    <row r="12" spans="1:106">
      <c r="A12" s="6">
        <v>46012</v>
      </c>
      <c r="B12" s="5">
        <v>850</v>
      </c>
      <c r="C12" s="4">
        <v>386</v>
      </c>
      <c r="D12" s="4">
        <v>0</v>
      </c>
      <c r="E12" s="5">
        <v>36161</v>
      </c>
      <c r="F12" s="5">
        <v>44691</v>
      </c>
      <c r="G12" s="5">
        <v>3547685</v>
      </c>
      <c r="H12" s="4">
        <v>689818</v>
      </c>
      <c r="I12" s="4">
        <v>0</v>
      </c>
      <c r="J12" s="4">
        <v>2895673</v>
      </c>
      <c r="K12" s="4">
        <v>652012</v>
      </c>
      <c r="L12" s="4">
        <v>11789885.48</v>
      </c>
      <c r="M12" s="4">
        <v>31191229.379999999</v>
      </c>
      <c r="N12" s="4">
        <v>671311.95</v>
      </c>
      <c r="O12" s="4">
        <v>497</v>
      </c>
      <c r="P12" s="4">
        <v>234</v>
      </c>
      <c r="Q12" s="4">
        <v>0</v>
      </c>
      <c r="R12" s="4">
        <v>197005</v>
      </c>
      <c r="S12" s="4">
        <v>84570</v>
      </c>
      <c r="T12" s="4">
        <v>0</v>
      </c>
      <c r="U12" s="4">
        <v>0</v>
      </c>
      <c r="V12" s="4">
        <v>353</v>
      </c>
      <c r="W12" s="4">
        <v>111555</v>
      </c>
      <c r="X12" s="4">
        <v>250</v>
      </c>
      <c r="Y12" s="4">
        <v>75257</v>
      </c>
      <c r="Z12" s="4">
        <v>0</v>
      </c>
      <c r="AA12" s="4">
        <v>0</v>
      </c>
      <c r="AB12" s="4">
        <v>82152.62</v>
      </c>
      <c r="AC12" s="4">
        <v>0</v>
      </c>
      <c r="AD12" s="4">
        <v>0</v>
      </c>
      <c r="AE12" s="4">
        <v>162</v>
      </c>
      <c r="AF12" s="5">
        <v>5298</v>
      </c>
      <c r="AG12" s="4">
        <v>1347</v>
      </c>
      <c r="AH12" s="4">
        <v>0</v>
      </c>
      <c r="AI12" s="4">
        <v>4691312</v>
      </c>
      <c r="AJ12" s="4">
        <v>4597495.76</v>
      </c>
      <c r="AK12" s="4">
        <v>93816.24</v>
      </c>
      <c r="AL12" s="4">
        <v>4400276.28</v>
      </c>
      <c r="AM12" s="4">
        <v>292835.71999999997</v>
      </c>
      <c r="AN12" s="4">
        <v>25651050.91</v>
      </c>
      <c r="AO12" s="4">
        <v>25307562</v>
      </c>
      <c r="AP12" s="4">
        <v>1192355.6000000001</v>
      </c>
      <c r="AQ12" s="4">
        <v>30662</v>
      </c>
      <c r="AR12" s="4">
        <v>12178</v>
      </c>
      <c r="AS12" s="4">
        <v>5332</v>
      </c>
      <c r="AT12" s="4">
        <v>46.01</v>
      </c>
      <c r="AU12" s="4">
        <v>13308</v>
      </c>
      <c r="AV12" s="4">
        <v>22978.92</v>
      </c>
      <c r="AW12" s="4">
        <v>44183.69</v>
      </c>
      <c r="AX12" s="4">
        <v>20859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19746</v>
      </c>
      <c r="BF12" s="4">
        <v>8188</v>
      </c>
      <c r="BG12" s="4">
        <v>14423</v>
      </c>
      <c r="BH12" s="4">
        <v>21248</v>
      </c>
      <c r="BI12" s="4">
        <v>9790</v>
      </c>
      <c r="BK12" s="4">
        <v>48570</v>
      </c>
      <c r="BL12" s="4">
        <v>42321</v>
      </c>
      <c r="BM12" s="4">
        <v>0</v>
      </c>
      <c r="BN12" s="4">
        <v>0</v>
      </c>
      <c r="BO12" s="4">
        <v>0</v>
      </c>
      <c r="BP12" s="4">
        <v>20764</v>
      </c>
      <c r="BQ12" s="4">
        <v>0</v>
      </c>
      <c r="BR12" s="4">
        <v>83000</v>
      </c>
      <c r="BS12" s="4">
        <v>0</v>
      </c>
      <c r="BT12" s="4">
        <v>0</v>
      </c>
      <c r="BU12" s="4">
        <v>59779</v>
      </c>
      <c r="BV12" s="4">
        <v>93296.71</v>
      </c>
      <c r="BW12" s="4">
        <v>0</v>
      </c>
      <c r="BX12" s="4">
        <v>0</v>
      </c>
      <c r="BY12" s="4">
        <v>41307</v>
      </c>
      <c r="BZ12" s="4">
        <v>962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16822</v>
      </c>
      <c r="CQ12" s="4">
        <v>0</v>
      </c>
      <c r="CR12" s="4">
        <v>0</v>
      </c>
      <c r="CS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</row>
    <row r="13" spans="1:106">
      <c r="A13" s="6">
        <v>46011</v>
      </c>
      <c r="B13" s="5">
        <v>850</v>
      </c>
      <c r="C13" s="4">
        <v>391</v>
      </c>
      <c r="D13" s="4">
        <v>0</v>
      </c>
      <c r="E13" s="5">
        <v>36181</v>
      </c>
      <c r="F13" s="5">
        <v>44876</v>
      </c>
      <c r="G13" s="5">
        <v>4154567</v>
      </c>
      <c r="H13" s="4">
        <v>809008</v>
      </c>
      <c r="I13" s="4">
        <v>0</v>
      </c>
      <c r="J13" s="4">
        <v>3277670</v>
      </c>
      <c r="K13" s="4">
        <v>876897</v>
      </c>
      <c r="L13" s="4">
        <v>11779331.92</v>
      </c>
      <c r="M13" s="4">
        <v>35786799.390000001</v>
      </c>
      <c r="N13" s="4">
        <v>720233.78</v>
      </c>
      <c r="O13" s="4">
        <v>530</v>
      </c>
      <c r="P13" s="4">
        <v>242</v>
      </c>
      <c r="Q13" s="4">
        <v>0</v>
      </c>
      <c r="R13" s="4">
        <v>194243</v>
      </c>
      <c r="S13" s="4">
        <v>89363</v>
      </c>
      <c r="T13" s="4">
        <v>0</v>
      </c>
      <c r="U13" s="4">
        <v>0</v>
      </c>
      <c r="V13" s="4">
        <v>333</v>
      </c>
      <c r="W13" s="4">
        <v>111987</v>
      </c>
      <c r="X13" s="4">
        <v>311</v>
      </c>
      <c r="Y13" s="4">
        <v>124556</v>
      </c>
      <c r="Z13" s="4">
        <v>0</v>
      </c>
      <c r="AA13" s="4">
        <v>0</v>
      </c>
      <c r="AB13" s="4">
        <v>94346.93</v>
      </c>
      <c r="AC13" s="4">
        <v>0</v>
      </c>
      <c r="AD13" s="4">
        <v>0</v>
      </c>
      <c r="AE13" s="4">
        <v>260</v>
      </c>
      <c r="AF13" s="5">
        <v>5597</v>
      </c>
      <c r="AG13" s="4">
        <v>1442</v>
      </c>
      <c r="AH13" s="4">
        <v>0</v>
      </c>
      <c r="AI13" s="4">
        <v>5021378</v>
      </c>
      <c r="AJ13" s="4">
        <v>4920968.4400000004</v>
      </c>
      <c r="AK13" s="4">
        <v>100409.56</v>
      </c>
      <c r="AL13" s="4">
        <v>4690699.78</v>
      </c>
      <c r="AM13" s="4">
        <v>329778.21999999997</v>
      </c>
      <c r="AN13" s="4">
        <v>29625088.260000002</v>
      </c>
      <c r="AO13" s="4">
        <v>29424030.77</v>
      </c>
      <c r="AP13" s="4">
        <v>1341391.05</v>
      </c>
      <c r="AQ13" s="4">
        <v>31434</v>
      </c>
      <c r="AR13" s="4">
        <v>12308</v>
      </c>
      <c r="AS13" s="4">
        <v>8218</v>
      </c>
      <c r="AT13" s="4">
        <v>165.97</v>
      </c>
      <c r="AU13" s="4">
        <v>14340</v>
      </c>
      <c r="AV13" s="4">
        <v>20070.02</v>
      </c>
      <c r="AW13" s="4">
        <v>41815.160000000003</v>
      </c>
      <c r="AX13" s="4">
        <v>16574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31300</v>
      </c>
      <c r="BF13" s="4">
        <v>6144</v>
      </c>
      <c r="BG13" s="4">
        <v>14705</v>
      </c>
      <c r="BH13" s="4">
        <v>24898</v>
      </c>
      <c r="BI13" s="4">
        <v>13340</v>
      </c>
      <c r="BK13" s="4">
        <v>67040</v>
      </c>
      <c r="BL13" s="4">
        <v>25727</v>
      </c>
      <c r="BM13" s="4">
        <v>0</v>
      </c>
      <c r="BN13" s="4">
        <v>0</v>
      </c>
      <c r="BO13" s="4">
        <v>0</v>
      </c>
      <c r="BP13" s="4">
        <v>22414</v>
      </c>
      <c r="BQ13" s="4">
        <v>0</v>
      </c>
      <c r="BR13" s="4">
        <v>89500</v>
      </c>
      <c r="BS13" s="4">
        <v>0</v>
      </c>
      <c r="BT13" s="4">
        <v>0</v>
      </c>
      <c r="BU13" s="4">
        <v>64898</v>
      </c>
      <c r="BV13" s="4">
        <v>90117.7</v>
      </c>
      <c r="BW13" s="4">
        <v>0</v>
      </c>
      <c r="BX13" s="4">
        <v>0</v>
      </c>
      <c r="BY13" s="4">
        <v>50724</v>
      </c>
      <c r="BZ13" s="4">
        <v>1222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26806</v>
      </c>
      <c r="CQ13" s="4">
        <v>0</v>
      </c>
      <c r="CR13" s="4">
        <v>0</v>
      </c>
      <c r="CS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</row>
    <row r="14" spans="1:106">
      <c r="A14" s="6">
        <v>46010</v>
      </c>
      <c r="B14" s="5">
        <v>892</v>
      </c>
      <c r="C14" s="4">
        <v>395</v>
      </c>
      <c r="D14" s="4">
        <v>0</v>
      </c>
      <c r="E14" s="5">
        <v>36583</v>
      </c>
      <c r="F14" s="5">
        <v>46385</v>
      </c>
      <c r="G14" s="5">
        <v>4350990</v>
      </c>
      <c r="H14" s="4">
        <v>777030</v>
      </c>
      <c r="I14" s="4">
        <v>0</v>
      </c>
      <c r="J14" s="4">
        <v>3755012</v>
      </c>
      <c r="K14" s="4">
        <v>595978</v>
      </c>
      <c r="L14" s="4">
        <v>11807310.630000001</v>
      </c>
      <c r="M14" s="4">
        <v>35408493.990000002</v>
      </c>
      <c r="N14" s="4">
        <v>747977.61</v>
      </c>
      <c r="O14" s="4">
        <v>549</v>
      </c>
      <c r="P14" s="4">
        <v>257</v>
      </c>
      <c r="Q14" s="4">
        <v>0</v>
      </c>
      <c r="R14" s="4">
        <v>246902</v>
      </c>
      <c r="S14" s="4">
        <v>108227</v>
      </c>
      <c r="T14" s="4">
        <v>0</v>
      </c>
      <c r="U14" s="4">
        <v>0</v>
      </c>
      <c r="V14" s="4">
        <v>405</v>
      </c>
      <c r="W14" s="4">
        <v>176881</v>
      </c>
      <c r="X14" s="4">
        <v>304</v>
      </c>
      <c r="Y14" s="4">
        <v>131210</v>
      </c>
      <c r="Z14" s="4">
        <v>0</v>
      </c>
      <c r="AA14" s="4">
        <v>0</v>
      </c>
      <c r="AB14" s="4">
        <v>99250.29</v>
      </c>
      <c r="AC14" s="4">
        <v>0</v>
      </c>
      <c r="AD14" s="4">
        <v>157</v>
      </c>
      <c r="AE14" s="4">
        <v>758</v>
      </c>
      <c r="AF14" s="5">
        <v>5739</v>
      </c>
      <c r="AG14" s="4">
        <v>1423</v>
      </c>
      <c r="AH14" s="4">
        <v>0</v>
      </c>
      <c r="AI14" s="4">
        <v>4901749</v>
      </c>
      <c r="AJ14" s="4">
        <v>4803744.0199999996</v>
      </c>
      <c r="AK14" s="4">
        <v>98004.98</v>
      </c>
      <c r="AL14" s="4">
        <v>4574405.51</v>
      </c>
      <c r="AM14" s="4">
        <v>327193.49</v>
      </c>
      <c r="AN14" s="4">
        <v>29464115.359999999</v>
      </c>
      <c r="AO14" s="4">
        <v>29483458.440000001</v>
      </c>
      <c r="AP14" s="4">
        <v>1023286.82</v>
      </c>
      <c r="AQ14" s="4">
        <v>35870</v>
      </c>
      <c r="AR14" s="4">
        <v>17670</v>
      </c>
      <c r="AS14" s="4">
        <v>8776</v>
      </c>
      <c r="AT14" s="4">
        <v>53.33</v>
      </c>
      <c r="AU14" s="4">
        <v>14346</v>
      </c>
      <c r="AV14" s="4">
        <v>21901.14</v>
      </c>
      <c r="AW14" s="4">
        <v>46499.37</v>
      </c>
      <c r="AX14" s="4">
        <v>20337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49012</v>
      </c>
      <c r="BF14" s="4">
        <v>4864</v>
      </c>
      <c r="BG14" s="4">
        <v>16950</v>
      </c>
      <c r="BH14" s="4">
        <v>29182</v>
      </c>
      <c r="BI14" s="4">
        <v>12970</v>
      </c>
      <c r="BK14" s="4">
        <v>55140</v>
      </c>
      <c r="BL14" s="4">
        <v>25608</v>
      </c>
      <c r="BM14" s="4">
        <v>0</v>
      </c>
      <c r="BN14" s="4">
        <v>0</v>
      </c>
      <c r="BO14" s="4">
        <v>0</v>
      </c>
      <c r="BP14" s="4">
        <v>22870</v>
      </c>
      <c r="BQ14" s="4">
        <v>16</v>
      </c>
      <c r="BR14" s="4">
        <v>92000</v>
      </c>
      <c r="BS14" s="4">
        <v>0</v>
      </c>
      <c r="BT14" s="4">
        <v>0</v>
      </c>
      <c r="BU14" s="4">
        <v>91359</v>
      </c>
      <c r="BV14" s="4">
        <v>78681.48</v>
      </c>
      <c r="BW14" s="4">
        <v>0</v>
      </c>
      <c r="BX14" s="4">
        <v>0</v>
      </c>
      <c r="BY14" s="4">
        <v>51077</v>
      </c>
      <c r="BZ14" s="4">
        <v>910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21984</v>
      </c>
      <c r="CQ14" s="4">
        <v>0</v>
      </c>
      <c r="CR14" s="4">
        <v>0</v>
      </c>
      <c r="CS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</row>
    <row r="15" spans="1:106">
      <c r="A15" s="6">
        <v>46009</v>
      </c>
      <c r="B15" s="5">
        <v>849</v>
      </c>
      <c r="C15" s="4">
        <v>369</v>
      </c>
      <c r="D15" s="4">
        <v>0</v>
      </c>
      <c r="E15" s="5">
        <v>47077</v>
      </c>
      <c r="F15" s="5">
        <v>57726</v>
      </c>
      <c r="G15" s="5">
        <v>4549337</v>
      </c>
      <c r="H15" s="4">
        <v>916660</v>
      </c>
      <c r="I15" s="4">
        <v>0</v>
      </c>
      <c r="J15" s="4">
        <v>4100230</v>
      </c>
      <c r="K15" s="4">
        <v>449107</v>
      </c>
      <c r="L15" s="4">
        <v>11503537.710000001</v>
      </c>
      <c r="M15" s="4">
        <v>38458714.18</v>
      </c>
      <c r="N15" s="4">
        <v>1211027.08</v>
      </c>
      <c r="O15" s="4">
        <v>524</v>
      </c>
      <c r="P15" s="4">
        <v>234</v>
      </c>
      <c r="Q15" s="4">
        <v>0</v>
      </c>
      <c r="R15" s="4">
        <v>205627</v>
      </c>
      <c r="S15" s="4">
        <v>93128</v>
      </c>
      <c r="T15" s="4">
        <v>0</v>
      </c>
      <c r="U15" s="4">
        <v>0</v>
      </c>
      <c r="V15" s="4">
        <v>429</v>
      </c>
      <c r="W15" s="4">
        <v>159172</v>
      </c>
      <c r="X15" s="4">
        <v>357</v>
      </c>
      <c r="Y15" s="4">
        <v>118531</v>
      </c>
      <c r="Z15" s="4">
        <v>0</v>
      </c>
      <c r="AA15" s="4">
        <v>0</v>
      </c>
      <c r="AB15" s="4">
        <v>102966.91</v>
      </c>
      <c r="AC15" s="4">
        <v>0</v>
      </c>
      <c r="AD15" s="4">
        <v>12</v>
      </c>
      <c r="AE15" s="4">
        <v>227</v>
      </c>
      <c r="AF15" s="5">
        <v>8023</v>
      </c>
      <c r="AG15" s="4">
        <v>1953</v>
      </c>
      <c r="AH15" s="4">
        <v>0</v>
      </c>
      <c r="AI15" s="4">
        <v>5701180</v>
      </c>
      <c r="AJ15" s="4">
        <v>5587168.4000000004</v>
      </c>
      <c r="AK15" s="4">
        <v>114011.6</v>
      </c>
      <c r="AL15" s="4">
        <v>5339399.63</v>
      </c>
      <c r="AM15" s="4">
        <v>361930.37</v>
      </c>
      <c r="AN15" s="4">
        <v>31823226.140000001</v>
      </c>
      <c r="AO15" s="4">
        <v>31681355.98</v>
      </c>
      <c r="AP15" s="4">
        <v>1076178.44</v>
      </c>
      <c r="AQ15" s="4">
        <v>31692</v>
      </c>
      <c r="AR15" s="4">
        <v>16294</v>
      </c>
      <c r="AS15" s="4">
        <v>7896</v>
      </c>
      <c r="AT15" s="4">
        <v>47.91</v>
      </c>
      <c r="AU15" s="4">
        <v>16632</v>
      </c>
      <c r="AV15" s="4">
        <v>20004.91</v>
      </c>
      <c r="AW15" s="4">
        <v>42916.55</v>
      </c>
      <c r="AX15" s="4">
        <v>22104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15726</v>
      </c>
      <c r="BF15" s="4">
        <v>5250</v>
      </c>
      <c r="BG15" s="4">
        <v>18469</v>
      </c>
      <c r="BH15" s="4">
        <v>47982</v>
      </c>
      <c r="BI15" s="4">
        <v>15400</v>
      </c>
      <c r="BK15" s="4">
        <v>69100</v>
      </c>
      <c r="BL15" s="4">
        <v>27501</v>
      </c>
      <c r="BM15" s="4">
        <v>0</v>
      </c>
      <c r="BN15" s="4">
        <v>0</v>
      </c>
      <c r="BO15" s="4">
        <v>0</v>
      </c>
      <c r="BP15" s="4">
        <v>27656</v>
      </c>
      <c r="BQ15" s="4">
        <v>335774</v>
      </c>
      <c r="BR15" s="4">
        <v>87000</v>
      </c>
      <c r="BS15" s="4">
        <v>0</v>
      </c>
      <c r="BT15" s="4">
        <v>0</v>
      </c>
      <c r="BU15" s="4">
        <v>174726</v>
      </c>
      <c r="BV15" s="4">
        <v>85555.8</v>
      </c>
      <c r="BW15" s="4">
        <v>0</v>
      </c>
      <c r="BX15" s="4">
        <v>0</v>
      </c>
      <c r="BY15" s="4">
        <v>53071</v>
      </c>
      <c r="BZ15" s="4">
        <v>1510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23582</v>
      </c>
      <c r="CQ15" s="4">
        <v>0</v>
      </c>
      <c r="CR15" s="4">
        <v>0</v>
      </c>
      <c r="CS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</row>
    <row r="16" spans="1:106">
      <c r="A16" s="6">
        <v>46008</v>
      </c>
      <c r="B16" s="5">
        <v>897</v>
      </c>
      <c r="C16" s="4">
        <v>420</v>
      </c>
      <c r="D16" s="4">
        <v>0</v>
      </c>
      <c r="E16" s="5">
        <v>38898</v>
      </c>
      <c r="F16" s="5">
        <v>48357</v>
      </c>
      <c r="G16" s="5">
        <v>4494514</v>
      </c>
      <c r="H16" s="4">
        <v>775198</v>
      </c>
      <c r="I16" s="4">
        <v>0</v>
      </c>
      <c r="J16" s="4">
        <v>3591559</v>
      </c>
      <c r="K16" s="4">
        <v>902955</v>
      </c>
      <c r="L16" s="4">
        <v>11445109.939999999</v>
      </c>
      <c r="M16" s="4">
        <v>37395186.43</v>
      </c>
      <c r="N16" s="4">
        <v>807835.72</v>
      </c>
      <c r="O16" s="4">
        <v>544</v>
      </c>
      <c r="P16" s="4">
        <v>260</v>
      </c>
      <c r="Q16" s="4">
        <v>0</v>
      </c>
      <c r="R16" s="4">
        <v>228912</v>
      </c>
      <c r="S16" s="4">
        <v>104260</v>
      </c>
      <c r="T16" s="4">
        <v>0</v>
      </c>
      <c r="U16" s="4">
        <v>0</v>
      </c>
      <c r="V16" s="4">
        <v>331</v>
      </c>
      <c r="W16" s="4">
        <v>128920</v>
      </c>
      <c r="X16" s="4">
        <v>281</v>
      </c>
      <c r="Y16" s="4">
        <v>102389</v>
      </c>
      <c r="Z16" s="4">
        <v>0</v>
      </c>
      <c r="AA16" s="4">
        <v>0</v>
      </c>
      <c r="AB16" s="4">
        <v>105314.89</v>
      </c>
      <c r="AC16" s="4">
        <v>0</v>
      </c>
      <c r="AD16" s="4">
        <v>0</v>
      </c>
      <c r="AE16" s="4">
        <v>438</v>
      </c>
      <c r="AF16" s="5">
        <v>5910</v>
      </c>
      <c r="AG16" s="4">
        <v>1449</v>
      </c>
      <c r="AH16" s="4">
        <v>0</v>
      </c>
      <c r="AI16" s="4">
        <v>5976279</v>
      </c>
      <c r="AJ16" s="4">
        <v>5856811.4199999999</v>
      </c>
      <c r="AK16" s="4">
        <v>119467.58</v>
      </c>
      <c r="AL16" s="4">
        <v>5575279.4199999999</v>
      </c>
      <c r="AM16" s="4">
        <v>400799.58</v>
      </c>
      <c r="AN16" s="4">
        <v>30465335.309999999</v>
      </c>
      <c r="AO16" s="4">
        <v>30228499.399999999</v>
      </c>
      <c r="AP16" s="4">
        <v>1190408.2</v>
      </c>
      <c r="AQ16" s="4">
        <v>35350</v>
      </c>
      <c r="AR16" s="4">
        <v>13396</v>
      </c>
      <c r="AS16" s="4">
        <v>6830</v>
      </c>
      <c r="AT16" s="4">
        <v>71.3</v>
      </c>
      <c r="AU16" s="4">
        <v>15636</v>
      </c>
      <c r="AV16" s="4">
        <v>17986.36</v>
      </c>
      <c r="AW16" s="4">
        <v>38449.300000000003</v>
      </c>
      <c r="AX16" s="4">
        <v>18383</v>
      </c>
      <c r="AY16" s="4">
        <v>0</v>
      </c>
      <c r="AZ16" s="4">
        <v>10000</v>
      </c>
      <c r="BA16" s="4">
        <v>0</v>
      </c>
      <c r="BB16" s="4">
        <v>0</v>
      </c>
      <c r="BC16" s="4">
        <v>0</v>
      </c>
      <c r="BD16" s="4">
        <v>0</v>
      </c>
      <c r="BE16" s="4">
        <v>17770</v>
      </c>
      <c r="BF16" s="4">
        <v>4940</v>
      </c>
      <c r="BG16" s="4">
        <v>14352</v>
      </c>
      <c r="BH16" s="4">
        <v>46640</v>
      </c>
      <c r="BI16" s="4">
        <v>12500</v>
      </c>
      <c r="BK16" s="4">
        <v>62830</v>
      </c>
      <c r="BL16" s="4">
        <v>25766</v>
      </c>
      <c r="BM16" s="4">
        <v>0</v>
      </c>
      <c r="BN16" s="4">
        <v>0</v>
      </c>
      <c r="BO16" s="4">
        <v>0</v>
      </c>
      <c r="BP16" s="4">
        <v>23924</v>
      </c>
      <c r="BQ16" s="4">
        <v>258</v>
      </c>
      <c r="BR16" s="4">
        <v>100188</v>
      </c>
      <c r="BS16" s="4">
        <v>0</v>
      </c>
      <c r="BT16" s="4">
        <v>0</v>
      </c>
      <c r="BU16" s="4">
        <v>127953</v>
      </c>
      <c r="BV16" s="4">
        <v>83543.87</v>
      </c>
      <c r="BW16" s="4">
        <v>0</v>
      </c>
      <c r="BX16" s="4">
        <v>0</v>
      </c>
      <c r="BY16" s="4">
        <v>47985</v>
      </c>
      <c r="BZ16" s="4">
        <v>1520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22402</v>
      </c>
      <c r="CQ16" s="4">
        <v>0</v>
      </c>
      <c r="CR16" s="4">
        <v>0</v>
      </c>
      <c r="CS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</row>
    <row r="17" spans="1:106">
      <c r="A17" s="6">
        <v>46007</v>
      </c>
      <c r="B17" s="5">
        <v>878</v>
      </c>
      <c r="C17" s="4">
        <v>422</v>
      </c>
      <c r="D17" s="4">
        <v>0</v>
      </c>
      <c r="E17" s="5">
        <v>38270</v>
      </c>
      <c r="F17" s="5">
        <v>48690</v>
      </c>
      <c r="G17" s="5">
        <v>4033459</v>
      </c>
      <c r="H17" s="4">
        <v>843284</v>
      </c>
      <c r="I17" s="4">
        <v>0</v>
      </c>
      <c r="J17" s="4">
        <v>3070365</v>
      </c>
      <c r="K17" s="4">
        <v>963094</v>
      </c>
      <c r="L17" s="4">
        <v>11404490.380000001</v>
      </c>
      <c r="M17" s="4">
        <v>32215140.449999999</v>
      </c>
      <c r="N17" s="4">
        <v>732397.36</v>
      </c>
      <c r="O17" s="4">
        <v>537</v>
      </c>
      <c r="P17" s="4">
        <v>248</v>
      </c>
      <c r="Q17" s="4">
        <v>0</v>
      </c>
      <c r="R17" s="4">
        <v>198836</v>
      </c>
      <c r="S17" s="4">
        <v>100734</v>
      </c>
      <c r="T17" s="4">
        <v>0</v>
      </c>
      <c r="U17" s="4">
        <v>0</v>
      </c>
      <c r="V17" s="4">
        <v>364</v>
      </c>
      <c r="W17" s="4">
        <v>133934</v>
      </c>
      <c r="X17" s="4">
        <v>310</v>
      </c>
      <c r="Y17" s="4">
        <v>106037</v>
      </c>
      <c r="Z17" s="4">
        <v>0</v>
      </c>
      <c r="AA17" s="4">
        <v>0</v>
      </c>
      <c r="AB17" s="4">
        <v>88774.38</v>
      </c>
      <c r="AC17" s="4">
        <v>0</v>
      </c>
      <c r="AD17" s="4">
        <v>0</v>
      </c>
      <c r="AE17" s="4">
        <v>93</v>
      </c>
      <c r="AF17" s="5">
        <v>6193</v>
      </c>
      <c r="AG17" s="4">
        <v>1502</v>
      </c>
      <c r="AH17" s="4">
        <v>0</v>
      </c>
      <c r="AI17" s="4">
        <v>5278497</v>
      </c>
      <c r="AJ17" s="4">
        <v>5172989.0599999996</v>
      </c>
      <c r="AK17" s="4">
        <v>105507.94</v>
      </c>
      <c r="AL17" s="4">
        <v>4941201.09</v>
      </c>
      <c r="AM17" s="4">
        <v>336295.91</v>
      </c>
      <c r="AN17" s="4">
        <v>25578671.640000001</v>
      </c>
      <c r="AO17" s="4">
        <v>25681297.59</v>
      </c>
      <c r="AP17" s="4">
        <v>1255346.06</v>
      </c>
      <c r="AQ17" s="4">
        <v>31838</v>
      </c>
      <c r="AR17" s="4">
        <v>14014</v>
      </c>
      <c r="AS17" s="4">
        <v>7188</v>
      </c>
      <c r="AT17" s="4">
        <v>20.22</v>
      </c>
      <c r="AU17" s="4">
        <v>15492</v>
      </c>
      <c r="AV17" s="4">
        <v>19198.34</v>
      </c>
      <c r="AW17" s="4">
        <v>38077.949999999997</v>
      </c>
      <c r="AX17" s="4">
        <v>16550</v>
      </c>
      <c r="AY17" s="4">
        <v>0</v>
      </c>
      <c r="AZ17" s="4">
        <v>500</v>
      </c>
      <c r="BA17" s="4">
        <v>0</v>
      </c>
      <c r="BB17" s="4">
        <v>0</v>
      </c>
      <c r="BC17" s="4">
        <v>0</v>
      </c>
      <c r="BD17" s="4">
        <v>0</v>
      </c>
      <c r="BE17" s="4">
        <v>14585</v>
      </c>
      <c r="BF17" s="4">
        <v>4792</v>
      </c>
      <c r="BG17" s="4">
        <v>15967</v>
      </c>
      <c r="BH17" s="4">
        <v>63560</v>
      </c>
      <c r="BI17" s="4">
        <v>15850</v>
      </c>
      <c r="BK17" s="4">
        <v>55770</v>
      </c>
      <c r="BL17" s="4">
        <v>24209</v>
      </c>
      <c r="BM17" s="4">
        <v>0</v>
      </c>
      <c r="BN17" s="4">
        <v>0</v>
      </c>
      <c r="BO17" s="4">
        <v>0</v>
      </c>
      <c r="BP17" s="4">
        <v>22942</v>
      </c>
      <c r="BQ17" s="4">
        <v>0</v>
      </c>
      <c r="BR17" s="4">
        <v>91000</v>
      </c>
      <c r="BS17" s="4">
        <v>0</v>
      </c>
      <c r="BT17" s="4">
        <v>0</v>
      </c>
      <c r="BU17" s="4">
        <v>76091</v>
      </c>
      <c r="BV17" s="4">
        <v>73493.47</v>
      </c>
      <c r="BW17" s="4">
        <v>0</v>
      </c>
      <c r="BX17" s="4">
        <v>0</v>
      </c>
      <c r="BY17" s="4">
        <v>46754</v>
      </c>
      <c r="BZ17" s="4">
        <v>1092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26274</v>
      </c>
      <c r="CQ17" s="4">
        <v>0</v>
      </c>
      <c r="CR17" s="4">
        <v>0</v>
      </c>
      <c r="CS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</row>
    <row r="18" spans="1:106">
      <c r="A18" s="6">
        <v>46006</v>
      </c>
      <c r="B18" s="5">
        <v>784</v>
      </c>
      <c r="C18" s="4">
        <v>345</v>
      </c>
      <c r="D18" s="4">
        <v>0</v>
      </c>
      <c r="E18" s="5">
        <v>38028</v>
      </c>
      <c r="F18" s="5">
        <v>48648</v>
      </c>
      <c r="G18" s="5">
        <v>4211520</v>
      </c>
      <c r="H18" s="4">
        <v>804092</v>
      </c>
      <c r="I18" s="4">
        <v>0</v>
      </c>
      <c r="J18" s="4">
        <v>3455177</v>
      </c>
      <c r="K18" s="4">
        <v>756343</v>
      </c>
      <c r="L18" s="4">
        <v>11335338.35</v>
      </c>
      <c r="M18" s="4">
        <v>32755418.5</v>
      </c>
      <c r="N18" s="4">
        <v>826990.01</v>
      </c>
      <c r="O18" s="4">
        <v>524</v>
      </c>
      <c r="P18" s="4">
        <v>238</v>
      </c>
      <c r="Q18" s="4">
        <v>0</v>
      </c>
      <c r="R18" s="4">
        <v>183575</v>
      </c>
      <c r="S18" s="4">
        <v>87714</v>
      </c>
      <c r="T18" s="4">
        <v>0</v>
      </c>
      <c r="U18" s="4">
        <v>0</v>
      </c>
      <c r="V18" s="4">
        <v>356</v>
      </c>
      <c r="W18" s="4">
        <v>111994</v>
      </c>
      <c r="X18" s="4">
        <v>313</v>
      </c>
      <c r="Y18" s="4">
        <v>93043</v>
      </c>
      <c r="Z18" s="4">
        <v>0</v>
      </c>
      <c r="AA18" s="4">
        <v>0</v>
      </c>
      <c r="AB18" s="4">
        <v>95083.34</v>
      </c>
      <c r="AC18" s="4">
        <v>0</v>
      </c>
      <c r="AD18" s="4">
        <v>0</v>
      </c>
      <c r="AE18" s="4">
        <v>571</v>
      </c>
      <c r="AF18" s="5">
        <v>6763</v>
      </c>
      <c r="AG18" s="4">
        <v>1661</v>
      </c>
      <c r="AH18" s="4">
        <v>0</v>
      </c>
      <c r="AI18" s="4">
        <v>5478639</v>
      </c>
      <c r="AJ18" s="4">
        <v>5369077.2199999997</v>
      </c>
      <c r="AK18" s="4">
        <v>109561.78</v>
      </c>
      <c r="AL18" s="4">
        <v>5134970.29</v>
      </c>
      <c r="AM18" s="4">
        <v>344818.71</v>
      </c>
      <c r="AN18" s="4">
        <v>26123351.039999999</v>
      </c>
      <c r="AO18" s="4">
        <v>26068624.440000001</v>
      </c>
      <c r="AP18" s="4">
        <v>1208155.27</v>
      </c>
      <c r="AQ18" s="4">
        <v>28250</v>
      </c>
      <c r="AR18" s="4">
        <v>12306</v>
      </c>
      <c r="AS18" s="4">
        <v>6514</v>
      </c>
      <c r="AT18" s="4">
        <v>39.54</v>
      </c>
      <c r="AU18" s="4">
        <v>15312</v>
      </c>
      <c r="AV18" s="4">
        <v>19154.57</v>
      </c>
      <c r="AW18" s="4">
        <v>38667.21</v>
      </c>
      <c r="AX18" s="4">
        <v>15987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11419</v>
      </c>
      <c r="BF18" s="4">
        <v>5740</v>
      </c>
      <c r="BG18" s="4">
        <v>17466</v>
      </c>
      <c r="BH18" s="4">
        <v>146420</v>
      </c>
      <c r="BI18" s="4">
        <v>18740</v>
      </c>
      <c r="BK18" s="4">
        <v>77900</v>
      </c>
      <c r="BL18" s="4">
        <v>25101</v>
      </c>
      <c r="BM18" s="4">
        <v>0</v>
      </c>
      <c r="BN18" s="4">
        <v>0</v>
      </c>
      <c r="BO18" s="4">
        <v>0</v>
      </c>
      <c r="BP18" s="4">
        <v>23276</v>
      </c>
      <c r="BQ18" s="4">
        <v>16</v>
      </c>
      <c r="BR18" s="4">
        <v>85000</v>
      </c>
      <c r="BS18" s="4">
        <v>0</v>
      </c>
      <c r="BT18" s="4">
        <v>0</v>
      </c>
      <c r="BU18" s="4">
        <v>60629</v>
      </c>
      <c r="BV18" s="4">
        <v>78152.350000000006</v>
      </c>
      <c r="BW18" s="4">
        <v>0</v>
      </c>
      <c r="BX18" s="4">
        <v>0</v>
      </c>
      <c r="BY18" s="4">
        <v>46191</v>
      </c>
      <c r="BZ18" s="4">
        <v>2118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24914</v>
      </c>
      <c r="CQ18" s="4">
        <v>0</v>
      </c>
      <c r="CR18" s="4">
        <v>0</v>
      </c>
      <c r="CS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</row>
    <row r="19" spans="1:106">
      <c r="A19" s="6">
        <v>46005</v>
      </c>
      <c r="B19" s="5">
        <v>886</v>
      </c>
      <c r="C19" s="4">
        <v>418</v>
      </c>
      <c r="D19" s="4">
        <v>0</v>
      </c>
      <c r="E19" s="5">
        <v>38642</v>
      </c>
      <c r="F19" s="5">
        <v>48898</v>
      </c>
      <c r="G19" s="5">
        <v>4094713</v>
      </c>
      <c r="H19" s="4">
        <v>790464</v>
      </c>
      <c r="I19" s="4">
        <v>0</v>
      </c>
      <c r="J19" s="4">
        <v>3413970</v>
      </c>
      <c r="K19" s="4">
        <v>680743</v>
      </c>
      <c r="L19" s="4">
        <v>11292778.4</v>
      </c>
      <c r="M19" s="4">
        <v>33416139.870000001</v>
      </c>
      <c r="N19" s="4">
        <v>761194.21</v>
      </c>
      <c r="O19" s="4">
        <v>558</v>
      </c>
      <c r="P19" s="4">
        <v>258</v>
      </c>
      <c r="Q19" s="4">
        <v>0</v>
      </c>
      <c r="R19" s="4">
        <v>208637</v>
      </c>
      <c r="S19" s="4">
        <v>99726</v>
      </c>
      <c r="T19" s="4">
        <v>0</v>
      </c>
      <c r="U19" s="4">
        <v>0</v>
      </c>
      <c r="V19" s="4">
        <v>419</v>
      </c>
      <c r="W19" s="4">
        <v>119805</v>
      </c>
      <c r="X19" s="4">
        <v>315</v>
      </c>
      <c r="Y19" s="4">
        <v>100608</v>
      </c>
      <c r="Z19" s="4">
        <v>0</v>
      </c>
      <c r="AA19" s="4">
        <v>0</v>
      </c>
      <c r="AB19" s="4">
        <v>94475.25</v>
      </c>
      <c r="AC19" s="4">
        <v>0</v>
      </c>
      <c r="AD19" s="4">
        <v>0</v>
      </c>
      <c r="AE19" s="4">
        <v>379</v>
      </c>
      <c r="AF19" s="5">
        <v>5928</v>
      </c>
      <c r="AG19" s="4">
        <v>1453</v>
      </c>
      <c r="AH19" s="4">
        <v>0</v>
      </c>
      <c r="AI19" s="4">
        <v>4860458</v>
      </c>
      <c r="AJ19" s="4">
        <v>4763271.84</v>
      </c>
      <c r="AK19" s="4">
        <v>97186.16</v>
      </c>
      <c r="AL19" s="4">
        <v>4547627.7</v>
      </c>
      <c r="AM19" s="4">
        <v>312730.3</v>
      </c>
      <c r="AN19" s="4">
        <v>27129091.850000001</v>
      </c>
      <c r="AO19" s="4">
        <v>27323321.379999999</v>
      </c>
      <c r="AP19" s="4">
        <v>1232360.67</v>
      </c>
      <c r="AQ19" s="4">
        <v>32912</v>
      </c>
      <c r="AR19" s="4">
        <v>13884</v>
      </c>
      <c r="AS19" s="4">
        <v>7022</v>
      </c>
      <c r="AT19" s="4">
        <v>294.08</v>
      </c>
      <c r="AU19" s="4">
        <v>14622</v>
      </c>
      <c r="AV19" s="4">
        <v>22705.4</v>
      </c>
      <c r="AW19" s="4">
        <v>44924.55</v>
      </c>
      <c r="AX19" s="4">
        <v>16725</v>
      </c>
      <c r="AY19" s="4">
        <v>0</v>
      </c>
      <c r="AZ19" s="4">
        <v>0</v>
      </c>
      <c r="BA19" s="4">
        <v>1235.4000000000001</v>
      </c>
      <c r="BB19" s="4">
        <v>0</v>
      </c>
      <c r="BC19" s="4">
        <v>37.06</v>
      </c>
      <c r="BD19" s="4">
        <v>0</v>
      </c>
      <c r="BE19" s="4">
        <v>47451</v>
      </c>
      <c r="BF19" s="4">
        <v>5848</v>
      </c>
      <c r="BG19" s="4">
        <v>17527</v>
      </c>
      <c r="BH19" s="4">
        <v>22254</v>
      </c>
      <c r="BI19" s="4">
        <v>19130</v>
      </c>
      <c r="BK19" s="4">
        <v>62580</v>
      </c>
      <c r="BL19" s="4">
        <v>43401</v>
      </c>
      <c r="BM19" s="4">
        <v>0</v>
      </c>
      <c r="BN19" s="4">
        <v>0</v>
      </c>
      <c r="BO19" s="4">
        <v>0</v>
      </c>
      <c r="BP19" s="4">
        <v>23498</v>
      </c>
      <c r="BQ19" s="4">
        <v>0</v>
      </c>
      <c r="BR19" s="4">
        <v>95586</v>
      </c>
      <c r="BS19" s="4">
        <v>0</v>
      </c>
      <c r="BT19" s="4">
        <v>0</v>
      </c>
      <c r="BU19" s="4">
        <v>83334</v>
      </c>
      <c r="BV19" s="4">
        <v>89786.87</v>
      </c>
      <c r="BW19" s="4">
        <v>0</v>
      </c>
      <c r="BX19" s="4">
        <v>0</v>
      </c>
      <c r="BY19" s="4">
        <v>46943</v>
      </c>
      <c r="BZ19" s="4">
        <v>1434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18996</v>
      </c>
      <c r="CQ19" s="4">
        <v>0</v>
      </c>
      <c r="CR19" s="4">
        <v>0</v>
      </c>
      <c r="CS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</row>
    <row r="20" spans="1:106">
      <c r="A20" s="6">
        <v>46004</v>
      </c>
      <c r="B20" s="5">
        <v>903</v>
      </c>
      <c r="C20" s="4">
        <v>439</v>
      </c>
      <c r="D20" s="4">
        <v>0</v>
      </c>
      <c r="E20" s="5">
        <v>38379</v>
      </c>
      <c r="F20" s="5">
        <v>49018</v>
      </c>
      <c r="G20" s="5">
        <v>4271938</v>
      </c>
      <c r="H20" s="4">
        <v>899700</v>
      </c>
      <c r="I20" s="4">
        <v>0</v>
      </c>
      <c r="J20" s="4">
        <v>3866971</v>
      </c>
      <c r="K20" s="4">
        <v>404967</v>
      </c>
      <c r="L20" s="4">
        <v>11661606.15</v>
      </c>
      <c r="M20" s="4">
        <v>37187123.810000002</v>
      </c>
      <c r="N20" s="4">
        <v>806430.22</v>
      </c>
      <c r="O20" s="4">
        <v>567</v>
      </c>
      <c r="P20" s="4">
        <v>269</v>
      </c>
      <c r="Q20" s="4">
        <v>0</v>
      </c>
      <c r="R20" s="4">
        <v>270666</v>
      </c>
      <c r="S20" s="4">
        <v>103692</v>
      </c>
      <c r="T20" s="4">
        <v>0</v>
      </c>
      <c r="U20" s="4">
        <v>0</v>
      </c>
      <c r="V20" s="4">
        <v>390</v>
      </c>
      <c r="W20" s="4">
        <v>145646</v>
      </c>
      <c r="X20" s="4">
        <v>341</v>
      </c>
      <c r="Y20" s="4">
        <v>120809</v>
      </c>
      <c r="Z20" s="4">
        <v>0</v>
      </c>
      <c r="AA20" s="4">
        <v>0</v>
      </c>
      <c r="AB20" s="4">
        <v>93606.07</v>
      </c>
      <c r="AC20" s="4">
        <v>0</v>
      </c>
      <c r="AD20" s="4">
        <v>0</v>
      </c>
      <c r="AE20" s="4">
        <v>4916</v>
      </c>
      <c r="AF20" s="5">
        <v>5976</v>
      </c>
      <c r="AG20" s="4">
        <v>1496</v>
      </c>
      <c r="AH20" s="4">
        <v>0</v>
      </c>
      <c r="AI20" s="4">
        <v>5160048</v>
      </c>
      <c r="AJ20" s="4">
        <v>5056880.04</v>
      </c>
      <c r="AK20" s="4">
        <v>103167.96</v>
      </c>
      <c r="AL20" s="4">
        <v>4820863.08</v>
      </c>
      <c r="AM20" s="4">
        <v>339334.92</v>
      </c>
      <c r="AN20" s="4">
        <v>30883829.870000001</v>
      </c>
      <c r="AO20" s="4">
        <v>30722461.239999998</v>
      </c>
      <c r="AP20" s="4">
        <v>1304614.9099999999</v>
      </c>
      <c r="AQ20" s="4">
        <v>40564</v>
      </c>
      <c r="AR20" s="4">
        <v>15000</v>
      </c>
      <c r="AS20" s="4">
        <v>7726</v>
      </c>
      <c r="AT20" s="4">
        <v>99.75</v>
      </c>
      <c r="AU20" s="4">
        <v>14646</v>
      </c>
      <c r="AV20" s="4">
        <v>23571.86</v>
      </c>
      <c r="AW20" s="4">
        <v>47374.34</v>
      </c>
      <c r="AX20" s="4">
        <v>21366</v>
      </c>
      <c r="AY20" s="4">
        <v>0</v>
      </c>
      <c r="AZ20" s="4">
        <v>0</v>
      </c>
      <c r="BA20" s="4">
        <v>3664.32</v>
      </c>
      <c r="BB20" s="4">
        <v>0</v>
      </c>
      <c r="BC20" s="4">
        <v>2510.0700000000002</v>
      </c>
      <c r="BD20" s="4">
        <v>0</v>
      </c>
      <c r="BE20" s="4">
        <v>53352</v>
      </c>
      <c r="BF20" s="4">
        <v>4718</v>
      </c>
      <c r="BG20" s="4">
        <v>18580</v>
      </c>
      <c r="BH20" s="4">
        <v>24942</v>
      </c>
      <c r="BI20" s="4">
        <v>21570</v>
      </c>
      <c r="BK20" s="4">
        <v>66840</v>
      </c>
      <c r="BL20" s="4">
        <v>25696</v>
      </c>
      <c r="BM20" s="4">
        <v>0</v>
      </c>
      <c r="BN20" s="4">
        <v>0</v>
      </c>
      <c r="BO20" s="4">
        <v>0</v>
      </c>
      <c r="BP20" s="4">
        <v>24252</v>
      </c>
      <c r="BQ20" s="4">
        <v>0</v>
      </c>
      <c r="BR20" s="4">
        <v>100876</v>
      </c>
      <c r="BS20" s="4">
        <v>0</v>
      </c>
      <c r="BT20" s="4">
        <v>0</v>
      </c>
      <c r="BU20" s="4">
        <v>114234</v>
      </c>
      <c r="BV20" s="4">
        <v>85842.13</v>
      </c>
      <c r="BW20" s="4">
        <v>0</v>
      </c>
      <c r="BX20" s="4">
        <v>0</v>
      </c>
      <c r="BY20" s="4">
        <v>46554</v>
      </c>
      <c r="BZ20" s="4">
        <v>1890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25338</v>
      </c>
      <c r="CQ20" s="4">
        <v>0</v>
      </c>
      <c r="CR20" s="4">
        <v>0</v>
      </c>
      <c r="CS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</row>
    <row r="21" spans="1:106">
      <c r="A21" s="6">
        <v>46003</v>
      </c>
      <c r="B21" s="5">
        <v>876</v>
      </c>
      <c r="C21" s="4">
        <v>372</v>
      </c>
      <c r="D21" s="4">
        <v>0</v>
      </c>
      <c r="E21" s="5">
        <v>39381</v>
      </c>
      <c r="F21" s="5">
        <v>50466</v>
      </c>
      <c r="G21" s="5">
        <v>4508051</v>
      </c>
      <c r="H21" s="4">
        <v>962650</v>
      </c>
      <c r="I21" s="4">
        <v>0</v>
      </c>
      <c r="J21" s="4">
        <v>4000515</v>
      </c>
      <c r="K21" s="4">
        <v>507536</v>
      </c>
      <c r="L21" s="4">
        <v>11787015.26</v>
      </c>
      <c r="M21" s="4">
        <v>39642560.649999999</v>
      </c>
      <c r="N21" s="4">
        <v>813419.43</v>
      </c>
      <c r="O21" s="4">
        <v>600</v>
      </c>
      <c r="P21" s="4">
        <v>247</v>
      </c>
      <c r="Q21" s="4">
        <v>0</v>
      </c>
      <c r="R21" s="4">
        <v>225597</v>
      </c>
      <c r="S21" s="4">
        <v>104987</v>
      </c>
      <c r="T21" s="4">
        <v>0</v>
      </c>
      <c r="U21" s="4">
        <v>0</v>
      </c>
      <c r="V21" s="4">
        <v>444</v>
      </c>
      <c r="W21" s="4">
        <v>175415</v>
      </c>
      <c r="X21" s="4">
        <v>344</v>
      </c>
      <c r="Y21" s="4">
        <v>119604</v>
      </c>
      <c r="Z21" s="4">
        <v>0</v>
      </c>
      <c r="AA21" s="4">
        <v>0</v>
      </c>
      <c r="AB21" s="4">
        <v>99050.31</v>
      </c>
      <c r="AC21" s="4">
        <v>0</v>
      </c>
      <c r="AD21" s="4">
        <v>0</v>
      </c>
      <c r="AE21" s="4">
        <v>308</v>
      </c>
      <c r="AF21" s="5">
        <v>6488</v>
      </c>
      <c r="AG21" s="4">
        <v>1548</v>
      </c>
      <c r="AH21" s="4">
        <v>0</v>
      </c>
      <c r="AI21" s="4">
        <v>5634787</v>
      </c>
      <c r="AJ21" s="4">
        <v>5522124.2599999998</v>
      </c>
      <c r="AK21" s="4">
        <v>112662.74</v>
      </c>
      <c r="AL21" s="4">
        <v>5241313.8499999996</v>
      </c>
      <c r="AM21" s="4">
        <v>391823.15</v>
      </c>
      <c r="AN21" s="4">
        <v>32386842.530000001</v>
      </c>
      <c r="AO21" s="4">
        <v>32679084.199999999</v>
      </c>
      <c r="AP21" s="4">
        <v>1328689.6599999999</v>
      </c>
      <c r="AQ21" s="4">
        <v>34960</v>
      </c>
      <c r="AR21" s="4">
        <v>17634</v>
      </c>
      <c r="AS21" s="4">
        <v>7984</v>
      </c>
      <c r="AT21" s="4">
        <v>16.940000000000001</v>
      </c>
      <c r="AU21" s="4">
        <v>15216</v>
      </c>
      <c r="AV21" s="4">
        <v>23835.48</v>
      </c>
      <c r="AW21" s="4">
        <v>49762.52</v>
      </c>
      <c r="AX21" s="4">
        <v>21015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202858</v>
      </c>
      <c r="BF21" s="4">
        <v>7310</v>
      </c>
      <c r="BG21" s="4">
        <v>20503</v>
      </c>
      <c r="BH21" s="4">
        <v>31964</v>
      </c>
      <c r="BI21" s="4">
        <v>23380</v>
      </c>
      <c r="BK21" s="4">
        <v>62340</v>
      </c>
      <c r="BL21" s="4">
        <v>27638</v>
      </c>
      <c r="BM21" s="4">
        <v>0</v>
      </c>
      <c r="BN21" s="4">
        <v>0</v>
      </c>
      <c r="BO21" s="4">
        <v>0</v>
      </c>
      <c r="BP21" s="4">
        <v>25934</v>
      </c>
      <c r="BQ21" s="4">
        <v>32</v>
      </c>
      <c r="BR21" s="4">
        <v>84688</v>
      </c>
      <c r="BS21" s="4">
        <v>0</v>
      </c>
      <c r="BT21" s="4">
        <v>0</v>
      </c>
      <c r="BU21" s="4">
        <v>93202</v>
      </c>
      <c r="BV21" s="4">
        <v>104068.18</v>
      </c>
      <c r="BW21" s="4">
        <v>0</v>
      </c>
      <c r="BX21" s="4">
        <v>0</v>
      </c>
      <c r="BY21" s="4">
        <v>52875</v>
      </c>
      <c r="BZ21" s="4">
        <v>1352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29674</v>
      </c>
      <c r="CQ21" s="4">
        <v>0</v>
      </c>
      <c r="CR21" s="4">
        <v>0</v>
      </c>
      <c r="CS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</row>
    <row r="22" spans="1:106">
      <c r="A22" s="6">
        <v>46002</v>
      </c>
      <c r="B22" s="5">
        <v>975</v>
      </c>
      <c r="C22" s="4">
        <v>440</v>
      </c>
      <c r="D22" s="4">
        <v>0</v>
      </c>
      <c r="E22" s="5">
        <v>39728</v>
      </c>
      <c r="F22" s="5">
        <v>52012</v>
      </c>
      <c r="G22" s="5">
        <v>4919861</v>
      </c>
      <c r="H22" s="4">
        <v>895962</v>
      </c>
      <c r="I22" s="4">
        <v>0</v>
      </c>
      <c r="J22" s="4">
        <v>4348136</v>
      </c>
      <c r="K22" s="4">
        <v>571725</v>
      </c>
      <c r="L22" s="4">
        <v>11614235.34</v>
      </c>
      <c r="M22" s="4">
        <v>43419796.359999999</v>
      </c>
      <c r="N22" s="4">
        <v>1225018.3600000001</v>
      </c>
      <c r="O22" s="4">
        <v>614</v>
      </c>
      <c r="P22" s="4">
        <v>276</v>
      </c>
      <c r="Q22" s="4">
        <v>0</v>
      </c>
      <c r="R22" s="4">
        <v>215949</v>
      </c>
      <c r="S22" s="4">
        <v>119142</v>
      </c>
      <c r="T22" s="4">
        <v>0</v>
      </c>
      <c r="U22" s="4">
        <v>0</v>
      </c>
      <c r="V22" s="4">
        <v>513</v>
      </c>
      <c r="W22" s="4">
        <v>195172</v>
      </c>
      <c r="X22" s="4">
        <v>426</v>
      </c>
      <c r="Y22" s="4">
        <v>125329</v>
      </c>
      <c r="Z22" s="4">
        <v>0</v>
      </c>
      <c r="AA22" s="4">
        <v>0</v>
      </c>
      <c r="AB22" s="4">
        <v>111061.88</v>
      </c>
      <c r="AC22" s="4">
        <v>0</v>
      </c>
      <c r="AD22" s="4">
        <v>0</v>
      </c>
      <c r="AE22" s="4">
        <v>684</v>
      </c>
      <c r="AF22" s="5">
        <v>8857</v>
      </c>
      <c r="AG22" s="4">
        <v>2189</v>
      </c>
      <c r="AH22" s="4">
        <v>0</v>
      </c>
      <c r="AI22" s="4">
        <v>6235060</v>
      </c>
      <c r="AJ22" s="4">
        <v>6110394.7999999998</v>
      </c>
      <c r="AK22" s="4">
        <v>124665.2</v>
      </c>
      <c r="AL22" s="4">
        <v>5825549.6500000004</v>
      </c>
      <c r="AM22" s="4">
        <v>407710.35</v>
      </c>
      <c r="AN22" s="4">
        <v>35021295.829999998</v>
      </c>
      <c r="AO22" s="4">
        <v>35709626.079999998</v>
      </c>
      <c r="AP22" s="4">
        <v>1475110.63</v>
      </c>
      <c r="AQ22" s="4">
        <v>35282</v>
      </c>
      <c r="AR22" s="4">
        <v>19332</v>
      </c>
      <c r="AS22" s="4">
        <v>9210</v>
      </c>
      <c r="AT22" s="4">
        <v>16.37</v>
      </c>
      <c r="AU22" s="4">
        <v>16452</v>
      </c>
      <c r="AV22" s="4">
        <v>20946.52</v>
      </c>
      <c r="AW22" s="4">
        <v>45918.2</v>
      </c>
      <c r="AX22" s="4">
        <v>23507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62116</v>
      </c>
      <c r="BF22" s="4">
        <v>5910</v>
      </c>
      <c r="BG22" s="4">
        <v>21027</v>
      </c>
      <c r="BH22" s="4">
        <v>50654</v>
      </c>
      <c r="BI22" s="4">
        <v>29190</v>
      </c>
      <c r="BK22" s="4">
        <v>71940</v>
      </c>
      <c r="BL22" s="4">
        <v>24860</v>
      </c>
      <c r="BM22" s="4">
        <v>0</v>
      </c>
      <c r="BN22" s="4">
        <v>0</v>
      </c>
      <c r="BO22" s="4">
        <v>0</v>
      </c>
      <c r="BP22" s="4">
        <v>28658</v>
      </c>
      <c r="BQ22" s="4">
        <v>368230</v>
      </c>
      <c r="BR22" s="4">
        <v>107688</v>
      </c>
      <c r="BS22" s="4">
        <v>0</v>
      </c>
      <c r="BT22" s="4">
        <v>0</v>
      </c>
      <c r="BU22" s="4">
        <v>86227</v>
      </c>
      <c r="BV22" s="4">
        <v>89526.39</v>
      </c>
      <c r="BW22" s="4">
        <v>0</v>
      </c>
      <c r="BX22" s="4">
        <v>0</v>
      </c>
      <c r="BY22" s="4">
        <v>52437</v>
      </c>
      <c r="BZ22" s="4">
        <v>1642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28810</v>
      </c>
      <c r="CQ22" s="4">
        <v>0</v>
      </c>
      <c r="CR22" s="4">
        <v>0</v>
      </c>
      <c r="CS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</row>
    <row r="23" spans="1:106">
      <c r="A23" s="6">
        <v>46001</v>
      </c>
      <c r="B23" s="5">
        <v>1026</v>
      </c>
      <c r="C23" s="4">
        <v>474</v>
      </c>
      <c r="D23" s="4">
        <v>0</v>
      </c>
      <c r="E23" s="5">
        <v>41175</v>
      </c>
      <c r="F23" s="5">
        <v>52570</v>
      </c>
      <c r="G23" s="5">
        <v>4466350</v>
      </c>
      <c r="H23" s="4">
        <v>905971</v>
      </c>
      <c r="I23" s="4">
        <v>0</v>
      </c>
      <c r="J23" s="4">
        <v>3593039</v>
      </c>
      <c r="K23" s="4">
        <v>873311</v>
      </c>
      <c r="L23" s="4">
        <v>11631812.74</v>
      </c>
      <c r="M23" s="4">
        <v>37325198.289999999</v>
      </c>
      <c r="N23" s="4">
        <v>888084.29</v>
      </c>
      <c r="O23" s="4">
        <v>621</v>
      </c>
      <c r="P23" s="4">
        <v>288</v>
      </c>
      <c r="Q23" s="4">
        <v>0</v>
      </c>
      <c r="R23" s="4">
        <v>252799</v>
      </c>
      <c r="S23" s="4">
        <v>117437</v>
      </c>
      <c r="T23" s="4">
        <v>0</v>
      </c>
      <c r="U23" s="4">
        <v>0</v>
      </c>
      <c r="V23" s="4">
        <v>438</v>
      </c>
      <c r="W23" s="4">
        <v>158305</v>
      </c>
      <c r="X23" s="4">
        <v>342</v>
      </c>
      <c r="Y23" s="4">
        <v>160618</v>
      </c>
      <c r="Z23" s="4">
        <v>0</v>
      </c>
      <c r="AA23" s="4">
        <v>0</v>
      </c>
      <c r="AB23" s="4">
        <v>94662.83</v>
      </c>
      <c r="AC23" s="4">
        <v>0</v>
      </c>
      <c r="AD23" s="4">
        <v>0</v>
      </c>
      <c r="AE23" s="4">
        <v>149</v>
      </c>
      <c r="AF23" s="5">
        <v>6694</v>
      </c>
      <c r="AG23" s="4">
        <v>1649</v>
      </c>
      <c r="AH23" s="4">
        <v>0</v>
      </c>
      <c r="AI23" s="4">
        <v>6175400</v>
      </c>
      <c r="AJ23" s="4">
        <v>6051912</v>
      </c>
      <c r="AK23" s="4">
        <v>123488</v>
      </c>
      <c r="AL23" s="4">
        <v>5748080.5199999996</v>
      </c>
      <c r="AM23" s="4">
        <v>426319.48</v>
      </c>
      <c r="AN23" s="4">
        <v>29886795.66</v>
      </c>
      <c r="AO23" s="4">
        <v>29697666.460000001</v>
      </c>
      <c r="AP23" s="4">
        <v>1452131.98</v>
      </c>
      <c r="AQ23" s="4">
        <v>39614</v>
      </c>
      <c r="AR23" s="4">
        <v>16792</v>
      </c>
      <c r="AS23" s="4">
        <v>10418</v>
      </c>
      <c r="AT23" s="4">
        <v>91.83</v>
      </c>
      <c r="AU23" s="4">
        <v>15678</v>
      </c>
      <c r="AV23" s="4">
        <v>23454.55</v>
      </c>
      <c r="AW23" s="4">
        <v>46789.21</v>
      </c>
      <c r="AX23" s="4">
        <v>20242</v>
      </c>
      <c r="AY23" s="4">
        <v>0</v>
      </c>
      <c r="AZ23" s="4">
        <v>10000</v>
      </c>
      <c r="BA23" s="4">
        <v>0</v>
      </c>
      <c r="BB23" s="4">
        <v>0</v>
      </c>
      <c r="BC23" s="4">
        <v>5951.62</v>
      </c>
      <c r="BD23" s="4">
        <v>0</v>
      </c>
      <c r="BE23" s="4">
        <v>63385</v>
      </c>
      <c r="BF23" s="4">
        <v>10776</v>
      </c>
      <c r="BG23" s="4">
        <v>18665</v>
      </c>
      <c r="BH23" s="4">
        <v>52922</v>
      </c>
      <c r="BI23" s="4">
        <v>35880</v>
      </c>
      <c r="BK23" s="4">
        <v>75940</v>
      </c>
      <c r="BL23" s="4">
        <v>25894</v>
      </c>
      <c r="BM23" s="4">
        <v>0</v>
      </c>
      <c r="BN23" s="4">
        <v>0</v>
      </c>
      <c r="BO23" s="4">
        <v>0</v>
      </c>
      <c r="BP23" s="4">
        <v>26112</v>
      </c>
      <c r="BQ23" s="4">
        <v>0</v>
      </c>
      <c r="BR23" s="4">
        <v>104188</v>
      </c>
      <c r="BS23" s="4">
        <v>0</v>
      </c>
      <c r="BT23" s="4">
        <v>0</v>
      </c>
      <c r="BU23" s="4">
        <v>105335</v>
      </c>
      <c r="BV23" s="4">
        <v>84692.25</v>
      </c>
      <c r="BW23" s="4">
        <v>0</v>
      </c>
      <c r="BX23" s="4">
        <v>0</v>
      </c>
      <c r="BY23" s="4">
        <v>51576</v>
      </c>
      <c r="BZ23" s="4">
        <v>2546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40106</v>
      </c>
      <c r="CQ23" s="4">
        <v>0</v>
      </c>
      <c r="CR23" s="4">
        <v>0</v>
      </c>
      <c r="CS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</row>
    <row r="24" spans="1:106">
      <c r="A24" s="6">
        <v>46000</v>
      </c>
      <c r="B24" s="5">
        <v>1004</v>
      </c>
      <c r="C24" s="4">
        <v>489</v>
      </c>
      <c r="D24" s="4">
        <v>0</v>
      </c>
      <c r="E24" s="5">
        <v>45083</v>
      </c>
      <c r="F24" s="5">
        <v>57625</v>
      </c>
      <c r="G24" s="5">
        <v>4685677</v>
      </c>
      <c r="H24" s="4">
        <v>962141</v>
      </c>
      <c r="I24" s="4">
        <v>0</v>
      </c>
      <c r="J24" s="4">
        <v>3852006</v>
      </c>
      <c r="K24" s="4">
        <v>833671</v>
      </c>
      <c r="L24" s="4">
        <v>11317255.289999999</v>
      </c>
      <c r="M24" s="4">
        <v>40187837.439999998</v>
      </c>
      <c r="N24" s="4">
        <v>961386.19</v>
      </c>
      <c r="O24" s="4">
        <v>602</v>
      </c>
      <c r="P24" s="4">
        <v>277</v>
      </c>
      <c r="Q24" s="4">
        <v>0</v>
      </c>
      <c r="R24" s="4">
        <v>308073</v>
      </c>
      <c r="S24" s="4">
        <v>125480</v>
      </c>
      <c r="T24" s="4">
        <v>0</v>
      </c>
      <c r="U24" s="4">
        <v>0</v>
      </c>
      <c r="V24" s="4">
        <v>457</v>
      </c>
      <c r="W24" s="4">
        <v>157759</v>
      </c>
      <c r="X24" s="4">
        <v>368</v>
      </c>
      <c r="Y24" s="4">
        <v>143314</v>
      </c>
      <c r="Z24" s="4">
        <v>0</v>
      </c>
      <c r="AA24" s="4">
        <v>0</v>
      </c>
      <c r="AB24" s="4">
        <v>99040.77</v>
      </c>
      <c r="AC24" s="4">
        <v>0</v>
      </c>
      <c r="AD24" s="4">
        <v>0</v>
      </c>
      <c r="AE24" s="4">
        <v>128</v>
      </c>
      <c r="AF24" s="5">
        <v>7162</v>
      </c>
      <c r="AG24" s="4">
        <v>1737</v>
      </c>
      <c r="AH24" s="4">
        <v>0</v>
      </c>
      <c r="AI24" s="4">
        <v>5841506</v>
      </c>
      <c r="AJ24" s="4">
        <v>5724697.8799999999</v>
      </c>
      <c r="AK24" s="4">
        <v>116808.12</v>
      </c>
      <c r="AL24" s="4">
        <v>5460510.5700000003</v>
      </c>
      <c r="AM24" s="4">
        <v>379895.43</v>
      </c>
      <c r="AN24" s="4">
        <v>32613626.539999999</v>
      </c>
      <c r="AO24" s="4">
        <v>33244139.48</v>
      </c>
      <c r="AP24" s="4">
        <v>1102192.0900000001</v>
      </c>
      <c r="AQ24" s="4">
        <v>46702</v>
      </c>
      <c r="AR24" s="4">
        <v>17042</v>
      </c>
      <c r="AS24" s="4">
        <v>9964</v>
      </c>
      <c r="AT24" s="4">
        <v>20.27</v>
      </c>
      <c r="AU24" s="4">
        <v>17058</v>
      </c>
      <c r="AV24" s="4">
        <v>22678.98</v>
      </c>
      <c r="AW24" s="4">
        <v>45097.49</v>
      </c>
      <c r="AX24" s="4">
        <v>19152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80861</v>
      </c>
      <c r="BF24" s="4">
        <v>6524</v>
      </c>
      <c r="BG24" s="4">
        <v>20137</v>
      </c>
      <c r="BH24" s="4">
        <v>75714</v>
      </c>
      <c r="BI24" s="4">
        <v>44140</v>
      </c>
      <c r="BK24" s="4">
        <v>83550</v>
      </c>
      <c r="BL24" s="4">
        <v>26431</v>
      </c>
      <c r="BM24" s="4">
        <v>0</v>
      </c>
      <c r="BN24" s="4">
        <v>0</v>
      </c>
      <c r="BO24" s="4">
        <v>0</v>
      </c>
      <c r="BP24" s="4">
        <v>26412</v>
      </c>
      <c r="BQ24" s="4">
        <v>0</v>
      </c>
      <c r="BR24" s="4">
        <v>103500</v>
      </c>
      <c r="BS24" s="4">
        <v>0</v>
      </c>
      <c r="BT24" s="4">
        <v>0</v>
      </c>
      <c r="BU24" s="4">
        <v>127521</v>
      </c>
      <c r="BV24" s="4">
        <v>97599.679999999993</v>
      </c>
      <c r="BW24" s="4">
        <v>0</v>
      </c>
      <c r="BX24" s="4">
        <v>0</v>
      </c>
      <c r="BY24" s="4">
        <v>53892</v>
      </c>
      <c r="BZ24" s="4">
        <v>2170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36192</v>
      </c>
      <c r="CQ24" s="4">
        <v>0</v>
      </c>
      <c r="CR24" s="4">
        <v>0</v>
      </c>
      <c r="CS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</row>
    <row r="25" spans="1:106">
      <c r="A25" s="6">
        <v>45999</v>
      </c>
      <c r="B25" s="5">
        <v>983</v>
      </c>
      <c r="C25" s="4">
        <v>428</v>
      </c>
      <c r="D25" s="4">
        <v>0</v>
      </c>
      <c r="E25" s="5">
        <v>42921</v>
      </c>
      <c r="F25" s="5">
        <v>55910</v>
      </c>
      <c r="G25" s="5">
        <v>4572668</v>
      </c>
      <c r="H25" s="4">
        <v>877172</v>
      </c>
      <c r="I25" s="4">
        <v>0</v>
      </c>
      <c r="J25" s="4">
        <v>3729814</v>
      </c>
      <c r="K25" s="4">
        <v>842854</v>
      </c>
      <c r="L25" s="4">
        <v>11291746.439999999</v>
      </c>
      <c r="M25" s="4">
        <v>38715774.950000003</v>
      </c>
      <c r="N25" s="4">
        <v>1039371.49</v>
      </c>
      <c r="O25" s="4">
        <v>560</v>
      </c>
      <c r="P25" s="4">
        <v>241</v>
      </c>
      <c r="Q25" s="4">
        <v>0</v>
      </c>
      <c r="R25" s="4">
        <v>209112</v>
      </c>
      <c r="S25" s="4">
        <v>96898</v>
      </c>
      <c r="T25" s="4">
        <v>0</v>
      </c>
      <c r="U25" s="4">
        <v>0</v>
      </c>
      <c r="V25" s="4">
        <v>394</v>
      </c>
      <c r="W25" s="4">
        <v>117681</v>
      </c>
      <c r="X25" s="4">
        <v>343</v>
      </c>
      <c r="Y25" s="4">
        <v>118688</v>
      </c>
      <c r="Z25" s="4">
        <v>0</v>
      </c>
      <c r="AA25" s="4">
        <v>0</v>
      </c>
      <c r="AB25" s="4">
        <v>97325.87</v>
      </c>
      <c r="AC25" s="4">
        <v>0</v>
      </c>
      <c r="AD25" s="4">
        <v>0</v>
      </c>
      <c r="AE25" s="4">
        <v>228</v>
      </c>
      <c r="AF25" s="5">
        <v>7480</v>
      </c>
      <c r="AG25" s="4">
        <v>1709</v>
      </c>
      <c r="AH25" s="4">
        <v>0</v>
      </c>
      <c r="AI25" s="4">
        <v>5621768</v>
      </c>
      <c r="AJ25" s="4">
        <v>5509374.6399999997</v>
      </c>
      <c r="AK25" s="4">
        <v>112393.36</v>
      </c>
      <c r="AL25" s="4">
        <v>5251381.18</v>
      </c>
      <c r="AM25" s="4">
        <v>371486.82</v>
      </c>
      <c r="AN25" s="4">
        <v>31863538.510000002</v>
      </c>
      <c r="AO25" s="4">
        <v>31537647.43</v>
      </c>
      <c r="AP25" s="4">
        <v>1556359.6</v>
      </c>
      <c r="AQ25" s="4">
        <v>33702</v>
      </c>
      <c r="AR25" s="4">
        <v>12754</v>
      </c>
      <c r="AS25" s="4">
        <v>7942</v>
      </c>
      <c r="AT25" s="4">
        <v>299.77999999999997</v>
      </c>
      <c r="AU25" s="4">
        <v>16116</v>
      </c>
      <c r="AV25" s="4">
        <v>21240.63</v>
      </c>
      <c r="AW25" s="4">
        <v>43675.18</v>
      </c>
      <c r="AX25" s="4">
        <v>21179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26530</v>
      </c>
      <c r="BF25" s="4">
        <v>6618</v>
      </c>
      <c r="BG25" s="4">
        <v>19508</v>
      </c>
      <c r="BH25" s="4">
        <v>157208</v>
      </c>
      <c r="BI25" s="4">
        <v>50620</v>
      </c>
      <c r="BK25" s="4">
        <v>101920</v>
      </c>
      <c r="BL25" s="4">
        <v>25979</v>
      </c>
      <c r="BM25" s="4">
        <v>0</v>
      </c>
      <c r="BN25" s="4">
        <v>0</v>
      </c>
      <c r="BO25" s="4">
        <v>0</v>
      </c>
      <c r="BP25" s="4">
        <v>26546</v>
      </c>
      <c r="BQ25" s="4">
        <v>0</v>
      </c>
      <c r="BR25" s="4">
        <v>97274</v>
      </c>
      <c r="BS25" s="4">
        <v>0</v>
      </c>
      <c r="BT25" s="4">
        <v>0</v>
      </c>
      <c r="BU25" s="4">
        <v>117509</v>
      </c>
      <c r="BV25" s="4">
        <v>98846.03</v>
      </c>
      <c r="BW25" s="4">
        <v>0</v>
      </c>
      <c r="BX25" s="4">
        <v>0</v>
      </c>
      <c r="BY25" s="4">
        <v>55702</v>
      </c>
      <c r="BZ25" s="4">
        <v>1336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47250</v>
      </c>
      <c r="CQ25" s="4">
        <v>0</v>
      </c>
      <c r="CR25" s="4">
        <v>0</v>
      </c>
      <c r="CS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</row>
    <row r="26" spans="1:106">
      <c r="A26" s="6">
        <v>45998</v>
      </c>
      <c r="B26" s="5">
        <v>1030</v>
      </c>
      <c r="C26" s="4">
        <v>406</v>
      </c>
      <c r="D26" s="4">
        <v>0</v>
      </c>
      <c r="E26" s="5">
        <v>42113</v>
      </c>
      <c r="F26" s="5">
        <v>53477</v>
      </c>
      <c r="G26" s="5">
        <v>4629089</v>
      </c>
      <c r="H26" s="4">
        <v>880765</v>
      </c>
      <c r="I26" s="4">
        <v>0</v>
      </c>
      <c r="J26" s="4">
        <v>3714762</v>
      </c>
      <c r="K26" s="4">
        <v>914327</v>
      </c>
      <c r="L26" s="4">
        <v>11289525.539999999</v>
      </c>
      <c r="M26" s="4">
        <v>38081385.770000003</v>
      </c>
      <c r="N26" s="4">
        <v>930857.43</v>
      </c>
      <c r="O26" s="4">
        <v>624</v>
      </c>
      <c r="P26" s="4">
        <v>247</v>
      </c>
      <c r="Q26" s="4">
        <v>0</v>
      </c>
      <c r="R26" s="4">
        <v>200324</v>
      </c>
      <c r="S26" s="4">
        <v>102714</v>
      </c>
      <c r="T26" s="4">
        <v>0</v>
      </c>
      <c r="U26" s="4">
        <v>0</v>
      </c>
      <c r="V26" s="4">
        <v>479</v>
      </c>
      <c r="W26" s="4">
        <v>174027</v>
      </c>
      <c r="X26" s="4">
        <v>362</v>
      </c>
      <c r="Y26" s="4">
        <v>134902</v>
      </c>
      <c r="Z26" s="4">
        <v>0</v>
      </c>
      <c r="AA26" s="4">
        <v>0</v>
      </c>
      <c r="AB26" s="4">
        <v>100471.13</v>
      </c>
      <c r="AC26" s="4">
        <v>0</v>
      </c>
      <c r="AD26" s="4">
        <v>0</v>
      </c>
      <c r="AE26" s="4">
        <v>280</v>
      </c>
      <c r="AF26" s="5">
        <v>6876</v>
      </c>
      <c r="AG26" s="4">
        <v>1636</v>
      </c>
      <c r="AH26" s="4">
        <v>0</v>
      </c>
      <c r="AI26" s="4">
        <v>5587724</v>
      </c>
      <c r="AJ26" s="4">
        <v>5476031.5199999996</v>
      </c>
      <c r="AK26" s="4">
        <v>111692.48</v>
      </c>
      <c r="AL26" s="4">
        <v>5217176.6500000004</v>
      </c>
      <c r="AM26" s="4">
        <v>371697.35</v>
      </c>
      <c r="AN26" s="4">
        <v>31074247.719999999</v>
      </c>
      <c r="AO26" s="4">
        <v>31029251.199999999</v>
      </c>
      <c r="AP26" s="4">
        <v>1464410.85</v>
      </c>
      <c r="AQ26" s="4">
        <v>32582</v>
      </c>
      <c r="AR26" s="4">
        <v>18264</v>
      </c>
      <c r="AS26" s="4">
        <v>8576</v>
      </c>
      <c r="AT26" s="4">
        <v>288.60000000000002</v>
      </c>
      <c r="AU26" s="4">
        <v>17058</v>
      </c>
      <c r="AV26" s="4">
        <v>20918.34</v>
      </c>
      <c r="AW26" s="4">
        <v>44026.92</v>
      </c>
      <c r="AX26" s="4">
        <v>17356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31475</v>
      </c>
      <c r="BF26" s="4">
        <v>6582</v>
      </c>
      <c r="BG26" s="4">
        <v>18781</v>
      </c>
      <c r="BH26" s="4">
        <v>31074</v>
      </c>
      <c r="BI26" s="4">
        <v>61350</v>
      </c>
      <c r="BK26" s="4">
        <v>84120</v>
      </c>
      <c r="BL26" s="4">
        <v>47230</v>
      </c>
      <c r="BM26" s="4">
        <v>0</v>
      </c>
      <c r="BN26" s="4">
        <v>0</v>
      </c>
      <c r="BO26" s="4">
        <v>0</v>
      </c>
      <c r="BP26" s="4">
        <v>26420</v>
      </c>
      <c r="BQ26" s="4">
        <v>26</v>
      </c>
      <c r="BR26" s="4">
        <v>87876</v>
      </c>
      <c r="BS26" s="4">
        <v>0</v>
      </c>
      <c r="BT26" s="4">
        <v>0</v>
      </c>
      <c r="BU26" s="4">
        <v>155117</v>
      </c>
      <c r="BV26" s="4">
        <v>78511.44</v>
      </c>
      <c r="BW26" s="4">
        <v>0</v>
      </c>
      <c r="BX26" s="4">
        <v>0</v>
      </c>
      <c r="BY26" s="4">
        <v>50491</v>
      </c>
      <c r="BZ26" s="4">
        <v>1874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39220</v>
      </c>
      <c r="CQ26" s="4">
        <v>0</v>
      </c>
      <c r="CR26" s="4">
        <v>0</v>
      </c>
      <c r="CS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</row>
    <row r="27" spans="1:106">
      <c r="A27" s="6">
        <v>45997</v>
      </c>
      <c r="B27" s="5">
        <v>1002</v>
      </c>
      <c r="C27" s="4">
        <v>427</v>
      </c>
      <c r="D27" s="4">
        <v>0</v>
      </c>
      <c r="E27" s="5">
        <v>43231</v>
      </c>
      <c r="F27" s="5">
        <v>54935</v>
      </c>
      <c r="G27" s="5">
        <v>4401980</v>
      </c>
      <c r="H27" s="4">
        <v>858804</v>
      </c>
      <c r="I27" s="4">
        <v>0</v>
      </c>
      <c r="J27" s="4">
        <v>4096857</v>
      </c>
      <c r="K27" s="4">
        <v>305123</v>
      </c>
      <c r="L27" s="4">
        <v>11274085.630000001</v>
      </c>
      <c r="M27" s="4">
        <v>37380553.969999999</v>
      </c>
      <c r="N27" s="4">
        <v>981342.14</v>
      </c>
      <c r="O27" s="4">
        <v>667</v>
      </c>
      <c r="P27" s="4">
        <v>262</v>
      </c>
      <c r="Q27" s="4">
        <v>0</v>
      </c>
      <c r="R27" s="4">
        <v>283990</v>
      </c>
      <c r="S27" s="4">
        <v>115616</v>
      </c>
      <c r="T27" s="4">
        <v>0</v>
      </c>
      <c r="U27" s="4">
        <v>0</v>
      </c>
      <c r="V27" s="4">
        <v>415</v>
      </c>
      <c r="W27" s="4">
        <v>158922</v>
      </c>
      <c r="X27" s="4">
        <v>352</v>
      </c>
      <c r="Y27" s="4">
        <v>108714</v>
      </c>
      <c r="Z27" s="4">
        <v>0</v>
      </c>
      <c r="AA27" s="4">
        <v>0</v>
      </c>
      <c r="AB27" s="4">
        <v>91614.38</v>
      </c>
      <c r="AC27" s="4">
        <v>0</v>
      </c>
      <c r="AD27" s="4">
        <v>0</v>
      </c>
      <c r="AE27" s="4">
        <v>65</v>
      </c>
      <c r="AF27" s="5">
        <v>6771</v>
      </c>
      <c r="AG27" s="4">
        <v>1647</v>
      </c>
      <c r="AH27" s="4">
        <v>0</v>
      </c>
      <c r="AI27" s="4">
        <v>5688168</v>
      </c>
      <c r="AJ27" s="4">
        <v>5574485.6399999997</v>
      </c>
      <c r="AK27" s="4">
        <v>113682.36</v>
      </c>
      <c r="AL27" s="4">
        <v>5347715.32</v>
      </c>
      <c r="AM27" s="4">
        <v>339152.68</v>
      </c>
      <c r="AN27" s="4">
        <v>30470283.5</v>
      </c>
      <c r="AO27" s="4">
        <v>30566334.210000001</v>
      </c>
      <c r="AP27" s="4">
        <v>1126052.01</v>
      </c>
      <c r="AQ27" s="4">
        <v>41670</v>
      </c>
      <c r="AR27" s="4">
        <v>16510</v>
      </c>
      <c r="AS27" s="4">
        <v>8056</v>
      </c>
      <c r="AT27" s="4">
        <v>30.68</v>
      </c>
      <c r="AU27" s="4">
        <v>15972</v>
      </c>
      <c r="AV27" s="4">
        <v>20978.34</v>
      </c>
      <c r="AW27" s="4">
        <v>45198.65</v>
      </c>
      <c r="AX27" s="4">
        <v>19389</v>
      </c>
      <c r="AY27" s="4">
        <v>0</v>
      </c>
      <c r="AZ27" s="4">
        <v>0</v>
      </c>
      <c r="BA27" s="4">
        <v>0</v>
      </c>
      <c r="BB27" s="4">
        <v>0</v>
      </c>
      <c r="BC27" s="4">
        <v>1280.83</v>
      </c>
      <c r="BD27" s="4">
        <v>0</v>
      </c>
      <c r="BE27" s="4">
        <v>129753</v>
      </c>
      <c r="BF27" s="4">
        <v>8366</v>
      </c>
      <c r="BG27" s="4">
        <v>20829</v>
      </c>
      <c r="BH27" s="4">
        <v>36716</v>
      </c>
      <c r="BI27" s="4">
        <v>76030</v>
      </c>
      <c r="BK27" s="4">
        <v>128250</v>
      </c>
      <c r="BL27" s="4">
        <v>21120</v>
      </c>
      <c r="BM27" s="4">
        <v>0</v>
      </c>
      <c r="BN27" s="4">
        <v>0</v>
      </c>
      <c r="BO27" s="4">
        <v>0</v>
      </c>
      <c r="BP27" s="4">
        <v>25500</v>
      </c>
      <c r="BQ27" s="4">
        <v>16</v>
      </c>
      <c r="BR27" s="4">
        <v>87774</v>
      </c>
      <c r="BS27" s="4">
        <v>0</v>
      </c>
      <c r="BT27" s="4">
        <v>0</v>
      </c>
      <c r="BU27" s="4">
        <v>168441</v>
      </c>
      <c r="BV27" s="4">
        <v>75197.259999999995</v>
      </c>
      <c r="BW27" s="4">
        <v>0</v>
      </c>
      <c r="BX27" s="4">
        <v>0</v>
      </c>
      <c r="BY27" s="4">
        <v>50770</v>
      </c>
      <c r="BZ27" s="4">
        <v>1304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39718</v>
      </c>
      <c r="CQ27" s="4">
        <v>0</v>
      </c>
      <c r="CR27" s="4">
        <v>0</v>
      </c>
      <c r="CS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</row>
    <row r="28" spans="1:106">
      <c r="A28" s="6">
        <v>45996</v>
      </c>
      <c r="B28" s="5">
        <v>1176</v>
      </c>
      <c r="C28" s="4">
        <v>434</v>
      </c>
      <c r="D28" s="4">
        <v>0</v>
      </c>
      <c r="E28" s="5">
        <v>41977</v>
      </c>
      <c r="F28" s="5">
        <v>53910</v>
      </c>
      <c r="G28" s="5">
        <v>4189036</v>
      </c>
      <c r="H28" s="4">
        <v>866330</v>
      </c>
      <c r="I28" s="4">
        <v>0</v>
      </c>
      <c r="J28" s="4">
        <v>3346449</v>
      </c>
      <c r="K28" s="4">
        <v>842587</v>
      </c>
      <c r="L28" s="4">
        <v>11267242.68</v>
      </c>
      <c r="M28" s="4">
        <v>35795992.590000004</v>
      </c>
      <c r="N28" s="4">
        <v>798528.25</v>
      </c>
      <c r="O28" s="4">
        <v>642</v>
      </c>
      <c r="P28" s="4">
        <v>232</v>
      </c>
      <c r="Q28" s="4">
        <v>0</v>
      </c>
      <c r="R28" s="4">
        <v>268021</v>
      </c>
      <c r="S28" s="4">
        <v>92209</v>
      </c>
      <c r="T28" s="4">
        <v>0</v>
      </c>
      <c r="U28" s="4">
        <v>0</v>
      </c>
      <c r="V28" s="4">
        <v>465</v>
      </c>
      <c r="W28" s="4">
        <v>156832</v>
      </c>
      <c r="X28" s="4">
        <v>365</v>
      </c>
      <c r="Y28" s="4">
        <v>131913</v>
      </c>
      <c r="Z28" s="4">
        <v>0</v>
      </c>
      <c r="AA28" s="4">
        <v>0</v>
      </c>
      <c r="AB28" s="4">
        <v>89057.95</v>
      </c>
      <c r="AC28" s="4">
        <v>0</v>
      </c>
      <c r="AD28" s="4">
        <v>0</v>
      </c>
      <c r="AE28" s="4">
        <v>261</v>
      </c>
      <c r="AF28" s="5">
        <v>6344</v>
      </c>
      <c r="AG28" s="4">
        <v>1512</v>
      </c>
      <c r="AH28" s="4">
        <v>0</v>
      </c>
      <c r="AI28" s="4">
        <v>5760231</v>
      </c>
      <c r="AJ28" s="4">
        <v>5645073.3799999999</v>
      </c>
      <c r="AK28" s="4">
        <v>115157.62</v>
      </c>
      <c r="AL28" s="4">
        <v>5378249.4800000004</v>
      </c>
      <c r="AM28" s="4">
        <v>382281.52</v>
      </c>
      <c r="AN28" s="4">
        <v>28975966.98</v>
      </c>
      <c r="AO28" s="4">
        <v>28983518.100000001</v>
      </c>
      <c r="AP28" s="4">
        <v>1052243.94</v>
      </c>
      <c r="AQ28" s="4">
        <v>39612</v>
      </c>
      <c r="AR28" s="4">
        <v>17030</v>
      </c>
      <c r="AS28" s="4">
        <v>9278</v>
      </c>
      <c r="AT28" s="4">
        <v>16.18</v>
      </c>
      <c r="AU28" s="4">
        <v>14358</v>
      </c>
      <c r="AV28" s="4">
        <v>22019.15</v>
      </c>
      <c r="AW28" s="4">
        <v>46253.07</v>
      </c>
      <c r="AX28" s="4">
        <v>18870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68452</v>
      </c>
      <c r="BF28" s="4">
        <v>8480</v>
      </c>
      <c r="BG28" s="4">
        <v>16062</v>
      </c>
      <c r="BH28" s="4">
        <v>29226</v>
      </c>
      <c r="BI28" s="4">
        <v>61350</v>
      </c>
      <c r="BK28" s="4">
        <v>57600</v>
      </c>
      <c r="BL28" s="4">
        <v>22321</v>
      </c>
      <c r="BM28" s="4">
        <v>0</v>
      </c>
      <c r="BN28" s="4">
        <v>0</v>
      </c>
      <c r="BO28" s="4">
        <v>0</v>
      </c>
      <c r="BP28" s="4">
        <v>21800</v>
      </c>
      <c r="BQ28" s="4">
        <v>0</v>
      </c>
      <c r="BR28" s="4">
        <v>89736</v>
      </c>
      <c r="BS28" s="4">
        <v>0</v>
      </c>
      <c r="BT28" s="4">
        <v>0</v>
      </c>
      <c r="BU28" s="4">
        <v>86050</v>
      </c>
      <c r="BV28" s="4">
        <v>85214.9</v>
      </c>
      <c r="BW28" s="4">
        <v>0</v>
      </c>
      <c r="BX28" s="4">
        <v>0</v>
      </c>
      <c r="BY28" s="4">
        <v>49772</v>
      </c>
      <c r="BZ28" s="4">
        <v>1300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31992</v>
      </c>
      <c r="CQ28" s="4">
        <v>0</v>
      </c>
      <c r="CR28" s="4">
        <v>0</v>
      </c>
      <c r="CS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</row>
    <row r="29" spans="1:106">
      <c r="A29" s="6">
        <v>45995</v>
      </c>
      <c r="B29" s="5">
        <v>1829</v>
      </c>
      <c r="C29" s="4">
        <v>433</v>
      </c>
      <c r="D29" s="4">
        <v>0</v>
      </c>
      <c r="E29" s="5">
        <v>44434</v>
      </c>
      <c r="F29" s="5">
        <v>57406</v>
      </c>
      <c r="G29" s="5">
        <v>4368731</v>
      </c>
      <c r="H29" s="4">
        <v>879441</v>
      </c>
      <c r="I29" s="4">
        <v>0</v>
      </c>
      <c r="J29" s="4">
        <v>3960205</v>
      </c>
      <c r="K29" s="4">
        <v>408526</v>
      </c>
      <c r="L29" s="4">
        <v>11273639.689999999</v>
      </c>
      <c r="M29" s="4">
        <v>38205318.240000002</v>
      </c>
      <c r="N29" s="4">
        <v>1180578.04</v>
      </c>
      <c r="O29" s="4">
        <v>705</v>
      </c>
      <c r="P29" s="4">
        <v>245</v>
      </c>
      <c r="Q29" s="4">
        <v>0</v>
      </c>
      <c r="R29" s="4">
        <v>250892</v>
      </c>
      <c r="S29" s="4">
        <v>86224</v>
      </c>
      <c r="T29" s="4">
        <v>0</v>
      </c>
      <c r="U29" s="4">
        <v>0</v>
      </c>
      <c r="V29" s="4">
        <v>499</v>
      </c>
      <c r="W29" s="4">
        <v>169557</v>
      </c>
      <c r="X29" s="4">
        <v>422</v>
      </c>
      <c r="Y29" s="4">
        <v>144126</v>
      </c>
      <c r="Z29" s="4">
        <v>0</v>
      </c>
      <c r="AA29" s="4">
        <v>0</v>
      </c>
      <c r="AB29" s="4">
        <v>91205.62</v>
      </c>
      <c r="AC29" s="4">
        <v>0</v>
      </c>
      <c r="AD29" s="4">
        <v>0</v>
      </c>
      <c r="AE29" s="4">
        <v>69</v>
      </c>
      <c r="AF29" s="5">
        <v>8629</v>
      </c>
      <c r="AG29" s="4">
        <v>2069</v>
      </c>
      <c r="AH29" s="4">
        <v>0</v>
      </c>
      <c r="AI29" s="4">
        <v>6076185</v>
      </c>
      <c r="AJ29" s="4">
        <v>5954720.2999999998</v>
      </c>
      <c r="AK29" s="4">
        <v>121464.7</v>
      </c>
      <c r="AL29" s="4">
        <v>5675376.9800000004</v>
      </c>
      <c r="AM29" s="4">
        <v>400308.02</v>
      </c>
      <c r="AN29" s="4">
        <v>30868105.98</v>
      </c>
      <c r="AO29" s="4">
        <v>30529403.719999999</v>
      </c>
      <c r="AP29" s="4">
        <v>1599729.93</v>
      </c>
      <c r="AQ29" s="4">
        <v>39202</v>
      </c>
      <c r="AR29" s="4">
        <v>17734</v>
      </c>
      <c r="AS29" s="4">
        <v>10048</v>
      </c>
      <c r="AT29" s="4">
        <v>317</v>
      </c>
      <c r="AU29" s="4">
        <v>16554</v>
      </c>
      <c r="AV29" s="4">
        <v>19194.78</v>
      </c>
      <c r="AW29" s="4">
        <v>40681.58</v>
      </c>
      <c r="AX29" s="4">
        <v>21563</v>
      </c>
      <c r="AY29" s="4">
        <v>0</v>
      </c>
      <c r="AZ29" s="4">
        <v>0</v>
      </c>
      <c r="BA29" s="4">
        <v>0</v>
      </c>
      <c r="BB29" s="4">
        <v>0</v>
      </c>
      <c r="BC29" s="4">
        <v>100</v>
      </c>
      <c r="BD29" s="4">
        <v>0</v>
      </c>
      <c r="BE29" s="4">
        <v>39321</v>
      </c>
      <c r="BF29" s="4">
        <v>5332</v>
      </c>
      <c r="BG29" s="4">
        <v>18194</v>
      </c>
      <c r="BH29" s="4">
        <v>39618</v>
      </c>
      <c r="BI29" s="4">
        <v>86890</v>
      </c>
      <c r="BK29" s="4">
        <v>57450</v>
      </c>
      <c r="BL29" s="4">
        <v>22596</v>
      </c>
      <c r="BM29" s="4">
        <v>0</v>
      </c>
      <c r="BN29" s="4">
        <v>0</v>
      </c>
      <c r="BO29" s="4">
        <v>0</v>
      </c>
      <c r="BP29" s="4">
        <v>25834</v>
      </c>
      <c r="BQ29" s="4">
        <v>342360</v>
      </c>
      <c r="BR29" s="4">
        <v>80150</v>
      </c>
      <c r="BS29" s="4">
        <v>0</v>
      </c>
      <c r="BT29" s="4">
        <v>0</v>
      </c>
      <c r="BU29" s="4">
        <v>102571</v>
      </c>
      <c r="BV29" s="4">
        <v>79308.06</v>
      </c>
      <c r="BW29" s="4">
        <v>0</v>
      </c>
      <c r="BX29" s="4">
        <v>0</v>
      </c>
      <c r="BY29" s="4">
        <v>47320</v>
      </c>
      <c r="BZ29" s="4">
        <v>1598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36320</v>
      </c>
      <c r="CQ29" s="4">
        <v>0</v>
      </c>
      <c r="CR29" s="4">
        <v>0</v>
      </c>
      <c r="CS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</row>
    <row r="30" spans="1:106">
      <c r="A30" s="6">
        <v>45994</v>
      </c>
      <c r="B30" s="5">
        <v>960</v>
      </c>
      <c r="C30" s="4">
        <v>410</v>
      </c>
      <c r="D30" s="4">
        <v>0</v>
      </c>
      <c r="E30" s="5">
        <v>43721</v>
      </c>
      <c r="F30" s="5">
        <v>56379</v>
      </c>
      <c r="G30" s="5">
        <v>4339904</v>
      </c>
      <c r="H30" s="4">
        <v>925070</v>
      </c>
      <c r="I30" s="4">
        <v>0</v>
      </c>
      <c r="J30" s="4">
        <v>3665280</v>
      </c>
      <c r="K30" s="4">
        <v>674624</v>
      </c>
      <c r="L30" s="4">
        <v>11115062.859999999</v>
      </c>
      <c r="M30" s="4">
        <v>35899092</v>
      </c>
      <c r="N30" s="4">
        <v>862623.39</v>
      </c>
      <c r="O30" s="4">
        <v>540</v>
      </c>
      <c r="P30" s="4">
        <v>223</v>
      </c>
      <c r="Q30" s="4">
        <v>0</v>
      </c>
      <c r="R30" s="4">
        <v>212716</v>
      </c>
      <c r="S30" s="4">
        <v>87960</v>
      </c>
      <c r="T30" s="4">
        <v>0</v>
      </c>
      <c r="U30" s="4">
        <v>0</v>
      </c>
      <c r="V30" s="4">
        <v>397</v>
      </c>
      <c r="W30" s="4">
        <v>157995</v>
      </c>
      <c r="X30" s="4">
        <v>349</v>
      </c>
      <c r="Y30" s="4">
        <v>107806</v>
      </c>
      <c r="Z30" s="4">
        <v>0</v>
      </c>
      <c r="AA30" s="4">
        <v>0</v>
      </c>
      <c r="AB30" s="4">
        <v>90552.69</v>
      </c>
      <c r="AC30" s="4">
        <v>0</v>
      </c>
      <c r="AD30" s="4">
        <v>0</v>
      </c>
      <c r="AE30" s="4">
        <v>547</v>
      </c>
      <c r="AF30" s="5">
        <v>6649</v>
      </c>
      <c r="AG30" s="4">
        <v>1561</v>
      </c>
      <c r="AH30" s="4">
        <v>0</v>
      </c>
      <c r="AI30" s="4">
        <v>5752161</v>
      </c>
      <c r="AJ30" s="4">
        <v>5637152.7800000003</v>
      </c>
      <c r="AK30" s="4">
        <v>115008.22</v>
      </c>
      <c r="AL30" s="4">
        <v>5362170.59</v>
      </c>
      <c r="AM30" s="4">
        <v>390190.41</v>
      </c>
      <c r="AN30" s="4">
        <v>27973346.93</v>
      </c>
      <c r="AO30" s="4">
        <v>29306551.379999999</v>
      </c>
      <c r="AP30" s="4">
        <v>840379.86</v>
      </c>
      <c r="AQ30" s="4">
        <v>33186</v>
      </c>
      <c r="AR30" s="4">
        <v>15172</v>
      </c>
      <c r="AS30" s="4">
        <v>7742</v>
      </c>
      <c r="AT30" s="4">
        <v>0.4</v>
      </c>
      <c r="AU30" s="4">
        <v>15732</v>
      </c>
      <c r="AV30" s="4">
        <v>21812.68</v>
      </c>
      <c r="AW30" s="4">
        <v>46683.59</v>
      </c>
      <c r="AX30" s="4">
        <v>16739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88876</v>
      </c>
      <c r="BF30" s="4">
        <v>2966</v>
      </c>
      <c r="BG30" s="4">
        <v>15426</v>
      </c>
      <c r="BH30" s="4">
        <v>45854</v>
      </c>
      <c r="BI30" s="4">
        <v>107950</v>
      </c>
      <c r="BK30" s="4">
        <v>49200</v>
      </c>
      <c r="BL30" s="4">
        <v>22395</v>
      </c>
      <c r="BM30" s="4">
        <v>0</v>
      </c>
      <c r="BN30" s="4">
        <v>0</v>
      </c>
      <c r="BO30" s="4">
        <v>0</v>
      </c>
      <c r="BP30" s="4">
        <v>23422</v>
      </c>
      <c r="BQ30" s="4">
        <v>42</v>
      </c>
      <c r="BR30" s="4">
        <v>84274</v>
      </c>
      <c r="BS30" s="4">
        <v>0</v>
      </c>
      <c r="BT30" s="4">
        <v>0</v>
      </c>
      <c r="BU30" s="4">
        <v>103159</v>
      </c>
      <c r="BV30" s="4">
        <v>83112.03</v>
      </c>
      <c r="BW30" s="4">
        <v>0</v>
      </c>
      <c r="BX30" s="4">
        <v>0</v>
      </c>
      <c r="BY30" s="4">
        <v>49714</v>
      </c>
      <c r="BZ30" s="4">
        <v>1590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42638</v>
      </c>
      <c r="CQ30" s="4">
        <v>0</v>
      </c>
      <c r="CR30" s="4">
        <v>0</v>
      </c>
      <c r="CS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</row>
    <row r="31" spans="1:106">
      <c r="A31" s="6">
        <v>45993</v>
      </c>
      <c r="B31" s="5">
        <v>990</v>
      </c>
      <c r="C31" s="4">
        <v>399</v>
      </c>
      <c r="D31" s="4">
        <v>0</v>
      </c>
      <c r="E31" s="5">
        <v>42704</v>
      </c>
      <c r="F31" s="5">
        <v>56643</v>
      </c>
      <c r="G31" s="5">
        <v>4530395</v>
      </c>
      <c r="H31" s="4">
        <v>931939</v>
      </c>
      <c r="I31" s="4">
        <v>0</v>
      </c>
      <c r="J31" s="4">
        <v>3989833</v>
      </c>
      <c r="K31" s="4">
        <v>540562</v>
      </c>
      <c r="L31" s="4">
        <v>11159837.76</v>
      </c>
      <c r="M31" s="4">
        <v>39571094.130000003</v>
      </c>
      <c r="N31" s="4">
        <v>1024920.61</v>
      </c>
      <c r="O31" s="4">
        <v>597</v>
      </c>
      <c r="P31" s="4">
        <v>245</v>
      </c>
      <c r="Q31" s="4">
        <v>0</v>
      </c>
      <c r="R31" s="4">
        <v>223131</v>
      </c>
      <c r="S31" s="4">
        <v>87795</v>
      </c>
      <c r="T31" s="4">
        <v>0</v>
      </c>
      <c r="U31" s="4">
        <v>0</v>
      </c>
      <c r="V31" s="4">
        <v>398</v>
      </c>
      <c r="W31" s="4">
        <v>126121</v>
      </c>
      <c r="X31" s="4">
        <v>345</v>
      </c>
      <c r="Y31" s="4">
        <v>126375</v>
      </c>
      <c r="Z31" s="4">
        <v>0</v>
      </c>
      <c r="AA31" s="4">
        <v>0</v>
      </c>
      <c r="AB31" s="4">
        <v>95399.8</v>
      </c>
      <c r="AC31" s="4">
        <v>0</v>
      </c>
      <c r="AD31" s="4">
        <v>0</v>
      </c>
      <c r="AE31" s="4">
        <v>585</v>
      </c>
      <c r="AF31" s="5">
        <v>7731</v>
      </c>
      <c r="AG31" s="4">
        <v>1827</v>
      </c>
      <c r="AH31" s="4">
        <v>0</v>
      </c>
      <c r="AI31" s="4">
        <v>6615131</v>
      </c>
      <c r="AJ31" s="4">
        <v>6482865.3799999999</v>
      </c>
      <c r="AK31" s="4">
        <v>132265.62</v>
      </c>
      <c r="AL31" s="4">
        <v>6200189.5999999996</v>
      </c>
      <c r="AM31" s="4">
        <v>414941.4</v>
      </c>
      <c r="AN31" s="4">
        <v>30605499.469999999</v>
      </c>
      <c r="AO31" s="4">
        <v>31645375.600000001</v>
      </c>
      <c r="AP31" s="4">
        <v>1310587.76</v>
      </c>
      <c r="AQ31" s="4">
        <v>33994</v>
      </c>
      <c r="AR31" s="4">
        <v>14032</v>
      </c>
      <c r="AS31" s="4">
        <v>8370</v>
      </c>
      <c r="AT31" s="4">
        <v>99.47</v>
      </c>
      <c r="AU31" s="4">
        <v>16602</v>
      </c>
      <c r="AV31" s="4">
        <v>23463.360000000001</v>
      </c>
      <c r="AW31" s="4">
        <v>47337.29</v>
      </c>
      <c r="AX31" s="4">
        <v>23267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52747</v>
      </c>
      <c r="BF31" s="4">
        <v>4414</v>
      </c>
      <c r="BG31" s="4">
        <v>18915</v>
      </c>
      <c r="BH31" s="4">
        <v>78612</v>
      </c>
      <c r="BI31" s="4">
        <v>190310</v>
      </c>
      <c r="BK31" s="4">
        <v>60070</v>
      </c>
      <c r="BL31" s="4">
        <v>23628</v>
      </c>
      <c r="BM31" s="4">
        <v>0</v>
      </c>
      <c r="BN31" s="4">
        <v>0</v>
      </c>
      <c r="BO31" s="4">
        <v>0</v>
      </c>
      <c r="BP31" s="4">
        <v>26070</v>
      </c>
      <c r="BQ31" s="4">
        <v>0</v>
      </c>
      <c r="BR31" s="4">
        <v>88586</v>
      </c>
      <c r="BS31" s="4">
        <v>0</v>
      </c>
      <c r="BT31" s="4">
        <v>0</v>
      </c>
      <c r="BU31" s="4">
        <v>125515</v>
      </c>
      <c r="BV31" s="4">
        <v>68797.69</v>
      </c>
      <c r="BW31" s="4">
        <v>0</v>
      </c>
      <c r="BX31" s="4">
        <v>0</v>
      </c>
      <c r="BY31" s="4">
        <v>54823</v>
      </c>
      <c r="BZ31" s="4">
        <v>1668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44214</v>
      </c>
      <c r="CQ31" s="4">
        <v>0</v>
      </c>
      <c r="CR31" s="4">
        <v>0</v>
      </c>
      <c r="CS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</row>
    <row r="32" spans="1:106">
      <c r="A32" s="6">
        <v>45992</v>
      </c>
      <c r="B32" s="5">
        <v>867</v>
      </c>
      <c r="C32" s="4">
        <v>349</v>
      </c>
      <c r="D32" s="4">
        <v>0</v>
      </c>
      <c r="E32" s="5">
        <v>45136</v>
      </c>
      <c r="F32" s="5">
        <v>61349</v>
      </c>
      <c r="G32" s="5">
        <v>4519656</v>
      </c>
      <c r="H32" s="4">
        <v>944464</v>
      </c>
      <c r="I32" s="4">
        <v>0</v>
      </c>
      <c r="J32" s="4">
        <v>4266079</v>
      </c>
      <c r="K32" s="4">
        <v>253577</v>
      </c>
      <c r="L32" s="4">
        <v>11013722.65</v>
      </c>
      <c r="M32" s="4">
        <v>41092616.960000001</v>
      </c>
      <c r="N32" s="4">
        <v>1654231.43</v>
      </c>
      <c r="O32" s="4">
        <v>472</v>
      </c>
      <c r="P32" s="4">
        <v>193</v>
      </c>
      <c r="Q32" s="4">
        <v>0</v>
      </c>
      <c r="R32" s="4">
        <v>151089</v>
      </c>
      <c r="S32" s="4">
        <v>68046</v>
      </c>
      <c r="T32" s="4">
        <v>0</v>
      </c>
      <c r="U32" s="4">
        <v>0</v>
      </c>
      <c r="V32" s="4">
        <v>323</v>
      </c>
      <c r="W32" s="4">
        <v>100286</v>
      </c>
      <c r="X32" s="4">
        <v>293</v>
      </c>
      <c r="Y32" s="4">
        <v>109164</v>
      </c>
      <c r="Z32" s="4">
        <v>0</v>
      </c>
      <c r="AA32" s="4">
        <v>0</v>
      </c>
      <c r="AB32" s="4">
        <v>95102.62</v>
      </c>
      <c r="AC32" s="4">
        <v>0</v>
      </c>
      <c r="AD32" s="4">
        <v>0</v>
      </c>
      <c r="AE32" s="4">
        <v>213</v>
      </c>
      <c r="AF32" s="5">
        <v>9546</v>
      </c>
      <c r="AG32" s="4">
        <v>2158</v>
      </c>
      <c r="AH32" s="4">
        <v>0</v>
      </c>
      <c r="AI32" s="4">
        <v>6448917</v>
      </c>
      <c r="AJ32" s="4">
        <v>6319957.6600000001</v>
      </c>
      <c r="AK32" s="4">
        <v>128959.34</v>
      </c>
      <c r="AL32" s="4">
        <v>6011728.3799999999</v>
      </c>
      <c r="AM32" s="4">
        <v>437838.62</v>
      </c>
      <c r="AN32" s="4">
        <v>33155203.989999998</v>
      </c>
      <c r="AO32" s="4">
        <v>33415566.260000002</v>
      </c>
      <c r="AP32" s="4">
        <v>1228134.02</v>
      </c>
      <c r="AQ32" s="4">
        <v>24308</v>
      </c>
      <c r="AR32" s="4">
        <v>10928</v>
      </c>
      <c r="AS32" s="4">
        <v>6772</v>
      </c>
      <c r="AT32" s="4">
        <v>63.26</v>
      </c>
      <c r="AU32" s="4">
        <v>17772</v>
      </c>
      <c r="AV32" s="4">
        <v>21513.83</v>
      </c>
      <c r="AW32" s="4">
        <v>44437.46</v>
      </c>
      <c r="AX32" s="4">
        <v>14333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77558</v>
      </c>
      <c r="BF32" s="4">
        <v>4186</v>
      </c>
      <c r="BG32" s="4">
        <v>19404</v>
      </c>
      <c r="BH32" s="4">
        <v>218546</v>
      </c>
      <c r="BI32" s="4">
        <v>609460</v>
      </c>
      <c r="BK32" s="4">
        <v>161720</v>
      </c>
      <c r="BL32" s="4">
        <v>20262</v>
      </c>
      <c r="BM32" s="4">
        <v>0</v>
      </c>
      <c r="BN32" s="4">
        <v>0</v>
      </c>
      <c r="BO32" s="4">
        <v>0</v>
      </c>
      <c r="BP32" s="4">
        <v>26952</v>
      </c>
      <c r="BQ32" s="4">
        <v>26</v>
      </c>
      <c r="BR32" s="4">
        <v>64876</v>
      </c>
      <c r="BS32" s="4">
        <v>0</v>
      </c>
      <c r="BT32" s="4">
        <v>0</v>
      </c>
      <c r="BU32" s="4">
        <v>125272</v>
      </c>
      <c r="BV32" s="4">
        <v>80090.259999999995</v>
      </c>
      <c r="BW32" s="4">
        <v>0</v>
      </c>
      <c r="BX32" s="4">
        <v>0</v>
      </c>
      <c r="BY32" s="4">
        <v>51618</v>
      </c>
      <c r="BZ32" s="4">
        <v>1668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49254</v>
      </c>
      <c r="CQ32" s="4">
        <v>0</v>
      </c>
      <c r="CR32" s="4">
        <v>0</v>
      </c>
      <c r="CS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</row>
    <row r="33" spans="2:32">
      <c r="B33" s="4">
        <f>SUM(B2:B32)</f>
        <v>30659</v>
      </c>
      <c r="E33" s="4">
        <f>SUM(E2:E32)</f>
        <v>1273203</v>
      </c>
      <c r="F33" s="4">
        <f>SUM(F2:F32)</f>
        <v>1601945</v>
      </c>
      <c r="G33" s="4">
        <f>SUM(G2:G32)</f>
        <v>129862249</v>
      </c>
      <c r="AF33" s="4">
        <f>SUM(AF2:AF32)</f>
        <v>202990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8351-4992-8240-A686-73051577B475}">
  <dimension ref="A1:CL33"/>
  <sheetViews>
    <sheetView topLeftCell="C1" workbookViewId="0">
      <selection activeCell="E1" sqref="E1"/>
    </sheetView>
  </sheetViews>
  <sheetFormatPr baseColWidth="10" defaultRowHeight="15"/>
  <cols>
    <col min="1" max="1" width="10.83203125" style="1"/>
    <col min="2" max="2" width="18.6640625" style="1" customWidth="1"/>
    <col min="3" max="3" width="17.33203125" style="1" customWidth="1"/>
    <col min="4" max="4" width="22.5" style="1" customWidth="1"/>
    <col min="5" max="16384" width="10.83203125" style="1"/>
  </cols>
  <sheetData>
    <row r="1" spans="1:90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s="3">
        <v>46053</v>
      </c>
      <c r="B2" s="2">
        <v>135</v>
      </c>
      <c r="C2" s="1">
        <v>72</v>
      </c>
      <c r="D2" s="1">
        <v>0</v>
      </c>
      <c r="E2" s="2">
        <v>17165</v>
      </c>
      <c r="F2" s="1">
        <v>15822</v>
      </c>
      <c r="G2" s="2">
        <v>923553</v>
      </c>
      <c r="H2" s="1">
        <v>198354</v>
      </c>
      <c r="I2" s="1">
        <v>0</v>
      </c>
      <c r="J2" s="1">
        <v>551355</v>
      </c>
      <c r="K2" s="2">
        <v>372198</v>
      </c>
      <c r="L2" s="1">
        <v>12986360.789999999</v>
      </c>
      <c r="M2" s="1">
        <v>7602391.6500000004</v>
      </c>
      <c r="N2" s="1">
        <v>260142.09</v>
      </c>
      <c r="O2" s="2">
        <v>89</v>
      </c>
      <c r="P2" s="1">
        <v>1547</v>
      </c>
      <c r="Q2" s="1">
        <v>365</v>
      </c>
      <c r="R2" s="1">
        <v>0</v>
      </c>
      <c r="S2" s="1">
        <v>1531154</v>
      </c>
      <c r="T2" s="1">
        <v>1500539.92</v>
      </c>
      <c r="U2" s="1">
        <v>30614.080000000002</v>
      </c>
      <c r="V2" s="1">
        <v>1402022.54</v>
      </c>
      <c r="W2" s="1">
        <v>128681.46</v>
      </c>
      <c r="X2" s="1">
        <v>5785602.8399999999</v>
      </c>
      <c r="Y2" s="1">
        <v>5685687.5099999998</v>
      </c>
      <c r="Z2" s="1">
        <v>385550.17</v>
      </c>
      <c r="AA2" s="1">
        <v>5874</v>
      </c>
      <c r="AB2" s="1">
        <v>2008</v>
      </c>
      <c r="AC2" s="1">
        <v>1150</v>
      </c>
      <c r="AD2" s="1">
        <v>17.53</v>
      </c>
      <c r="AE2" s="1">
        <v>6540</v>
      </c>
      <c r="AF2" s="1">
        <v>14103.08</v>
      </c>
      <c r="AG2" s="1">
        <v>36259.26</v>
      </c>
      <c r="AH2" s="1">
        <v>409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3633</v>
      </c>
      <c r="AP2" s="1">
        <v>1012</v>
      </c>
      <c r="AQ2" s="1">
        <v>4183</v>
      </c>
      <c r="AR2" s="1">
        <v>5806</v>
      </c>
      <c r="AS2" s="1">
        <v>1740</v>
      </c>
      <c r="AU2" s="1">
        <v>13320</v>
      </c>
      <c r="AV2" s="1">
        <v>24</v>
      </c>
      <c r="AW2" s="1">
        <v>0</v>
      </c>
      <c r="AX2" s="1">
        <v>0</v>
      </c>
      <c r="AY2" s="1">
        <v>0</v>
      </c>
      <c r="AZ2" s="1">
        <v>5792</v>
      </c>
      <c r="BA2" s="1">
        <v>0</v>
      </c>
      <c r="BB2" s="1">
        <v>14500</v>
      </c>
      <c r="BC2" s="1">
        <v>0</v>
      </c>
      <c r="BD2" s="1">
        <v>0</v>
      </c>
      <c r="BE2" s="1">
        <v>27580</v>
      </c>
      <c r="BF2" s="1">
        <v>53607.33</v>
      </c>
      <c r="BG2" s="1">
        <v>0</v>
      </c>
      <c r="BH2" s="1">
        <v>2752</v>
      </c>
      <c r="BI2" s="1">
        <v>0</v>
      </c>
      <c r="BJ2" s="1">
        <v>0</v>
      </c>
      <c r="BK2" s="1">
        <v>0</v>
      </c>
      <c r="BL2" s="1">
        <v>0</v>
      </c>
      <c r="BM2" s="1">
        <v>2076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5446</v>
      </c>
      <c r="CA2" s="1">
        <v>0</v>
      </c>
      <c r="CB2" s="1">
        <v>0</v>
      </c>
      <c r="CC2" s="1">
        <v>0</v>
      </c>
      <c r="CE2" s="1">
        <v>0</v>
      </c>
      <c r="CF2" s="1">
        <v>0</v>
      </c>
      <c r="CG2" s="1">
        <v>26845</v>
      </c>
      <c r="CH2" s="1">
        <v>936</v>
      </c>
      <c r="CI2" s="1">
        <v>0</v>
      </c>
      <c r="CJ2" s="1">
        <v>4528.6499999999996</v>
      </c>
      <c r="CK2" s="1">
        <v>0</v>
      </c>
      <c r="CL2" s="1">
        <v>0</v>
      </c>
    </row>
    <row r="3" spans="1:90">
      <c r="A3" s="3">
        <v>46052</v>
      </c>
      <c r="B3" s="2">
        <v>689</v>
      </c>
      <c r="C3" s="1">
        <v>291</v>
      </c>
      <c r="D3" s="1">
        <v>0</v>
      </c>
      <c r="E3" s="2">
        <v>36173</v>
      </c>
      <c r="F3" s="1">
        <v>43972</v>
      </c>
      <c r="G3" s="2">
        <v>3168875</v>
      </c>
      <c r="H3" s="1">
        <v>832563</v>
      </c>
      <c r="I3" s="1">
        <v>0</v>
      </c>
      <c r="J3" s="1">
        <v>2598260</v>
      </c>
      <c r="K3" s="2">
        <v>570615</v>
      </c>
      <c r="L3" s="1">
        <v>12928859.369999999</v>
      </c>
      <c r="M3" s="1">
        <v>26035226.75</v>
      </c>
      <c r="N3" s="1">
        <v>667181.32999999996</v>
      </c>
      <c r="O3" s="2">
        <v>433</v>
      </c>
      <c r="P3" s="1">
        <v>4746</v>
      </c>
      <c r="Q3" s="1">
        <v>1266</v>
      </c>
      <c r="R3" s="1">
        <v>0</v>
      </c>
      <c r="S3" s="1">
        <v>4972122</v>
      </c>
      <c r="T3" s="1">
        <v>4872684.5599999996</v>
      </c>
      <c r="U3" s="1">
        <v>99437.440000000002</v>
      </c>
      <c r="V3" s="1">
        <v>4666811.92</v>
      </c>
      <c r="W3" s="1">
        <v>305960.08</v>
      </c>
      <c r="X3" s="1">
        <v>20326309.449999999</v>
      </c>
      <c r="Y3" s="1">
        <v>20093463.539999999</v>
      </c>
      <c r="Z3" s="1">
        <v>969641.18</v>
      </c>
      <c r="AA3" s="1">
        <v>22378</v>
      </c>
      <c r="AB3" s="1">
        <v>10972</v>
      </c>
      <c r="AC3" s="1">
        <v>5764</v>
      </c>
      <c r="AD3" s="1">
        <v>419.34</v>
      </c>
      <c r="AE3" s="1">
        <v>18762</v>
      </c>
      <c r="AF3" s="1">
        <v>17085.3</v>
      </c>
      <c r="AG3" s="1">
        <v>41449.699999999997</v>
      </c>
      <c r="AH3" s="1">
        <v>15300</v>
      </c>
      <c r="AI3" s="1">
        <v>0</v>
      </c>
      <c r="AJ3" s="1">
        <v>0</v>
      </c>
      <c r="AK3" s="1">
        <v>0</v>
      </c>
      <c r="AL3" s="1">
        <v>0</v>
      </c>
      <c r="AM3" s="1">
        <v>8617.89</v>
      </c>
      <c r="AN3" s="1">
        <v>0</v>
      </c>
      <c r="AO3" s="1">
        <v>10720</v>
      </c>
      <c r="AP3" s="1">
        <v>3542</v>
      </c>
      <c r="AQ3" s="1">
        <v>12455</v>
      </c>
      <c r="AR3" s="1">
        <v>26316</v>
      </c>
      <c r="AS3" s="1">
        <v>5090</v>
      </c>
      <c r="AU3" s="1">
        <v>45230</v>
      </c>
      <c r="AV3" s="1">
        <v>28000</v>
      </c>
      <c r="AW3" s="1">
        <v>0</v>
      </c>
      <c r="AX3" s="1">
        <v>0</v>
      </c>
      <c r="AY3" s="1">
        <v>0</v>
      </c>
      <c r="AZ3" s="1">
        <v>21172</v>
      </c>
      <c r="BA3" s="1">
        <v>23</v>
      </c>
      <c r="BB3" s="1">
        <v>74188</v>
      </c>
      <c r="BC3" s="1">
        <v>0</v>
      </c>
      <c r="BD3" s="1">
        <v>0</v>
      </c>
      <c r="BE3" s="1">
        <v>90732</v>
      </c>
      <c r="BF3" s="1">
        <v>70829.039999999994</v>
      </c>
      <c r="BG3" s="1">
        <v>0</v>
      </c>
      <c r="BH3" s="1">
        <v>10160</v>
      </c>
      <c r="BI3" s="1">
        <v>0</v>
      </c>
      <c r="BJ3" s="1">
        <v>0</v>
      </c>
      <c r="BK3" s="1">
        <v>0</v>
      </c>
      <c r="BL3" s="1">
        <v>0</v>
      </c>
      <c r="BM3" s="1">
        <v>3528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12604</v>
      </c>
      <c r="CA3" s="1">
        <v>0</v>
      </c>
      <c r="CB3" s="1">
        <v>0</v>
      </c>
      <c r="CC3" s="1">
        <v>0</v>
      </c>
      <c r="CE3" s="1">
        <v>0</v>
      </c>
      <c r="CF3" s="1">
        <v>0</v>
      </c>
      <c r="CG3" s="1">
        <v>39462</v>
      </c>
      <c r="CH3" s="1">
        <v>2785</v>
      </c>
      <c r="CI3" s="1">
        <v>0</v>
      </c>
      <c r="CJ3" s="1">
        <v>17703.72</v>
      </c>
      <c r="CK3" s="1">
        <v>0</v>
      </c>
      <c r="CL3" s="1">
        <v>0</v>
      </c>
    </row>
    <row r="4" spans="1:90">
      <c r="A4" s="3">
        <v>46051</v>
      </c>
      <c r="B4" s="2">
        <v>740</v>
      </c>
      <c r="C4" s="1">
        <v>294</v>
      </c>
      <c r="D4" s="1">
        <v>0</v>
      </c>
      <c r="E4" s="2">
        <v>36668</v>
      </c>
      <c r="F4" s="1">
        <v>45366</v>
      </c>
      <c r="G4" s="2">
        <v>3510373</v>
      </c>
      <c r="H4" s="1">
        <v>741485</v>
      </c>
      <c r="I4" s="1">
        <v>0</v>
      </c>
      <c r="J4" s="1">
        <v>3279093</v>
      </c>
      <c r="K4" s="2">
        <v>231280</v>
      </c>
      <c r="L4" s="1">
        <v>12821814.720000001</v>
      </c>
      <c r="M4" s="1">
        <v>30906499.399999999</v>
      </c>
      <c r="N4" s="1">
        <v>963850.13</v>
      </c>
      <c r="O4" s="2">
        <v>446</v>
      </c>
      <c r="P4" s="1">
        <v>6418</v>
      </c>
      <c r="Q4" s="1">
        <v>1637</v>
      </c>
      <c r="R4" s="1">
        <v>0</v>
      </c>
      <c r="S4" s="1">
        <v>6147942</v>
      </c>
      <c r="T4" s="1">
        <v>6025020.1600000001</v>
      </c>
      <c r="U4" s="1">
        <v>122921.84</v>
      </c>
      <c r="V4" s="1">
        <v>5780378.7199999997</v>
      </c>
      <c r="W4" s="1">
        <v>366463.28</v>
      </c>
      <c r="X4" s="1">
        <v>23987639.440000001</v>
      </c>
      <c r="Y4" s="1">
        <v>23743966.109999999</v>
      </c>
      <c r="Z4" s="1">
        <v>1014591.48</v>
      </c>
      <c r="AA4" s="1">
        <v>24822</v>
      </c>
      <c r="AB4" s="1">
        <v>12270</v>
      </c>
      <c r="AC4" s="1">
        <v>6356</v>
      </c>
      <c r="AD4" s="1">
        <v>163.54</v>
      </c>
      <c r="AE4" s="1">
        <v>22320</v>
      </c>
      <c r="AF4" s="1">
        <v>14191.63</v>
      </c>
      <c r="AG4" s="1">
        <v>36055.379999999997</v>
      </c>
      <c r="AH4" s="1">
        <v>14426</v>
      </c>
      <c r="AI4" s="1">
        <v>0</v>
      </c>
      <c r="AJ4" s="1">
        <v>0</v>
      </c>
      <c r="AK4" s="1">
        <v>0</v>
      </c>
      <c r="AL4" s="1">
        <v>0</v>
      </c>
      <c r="AM4" s="1">
        <v>492.3</v>
      </c>
      <c r="AN4" s="1">
        <v>0</v>
      </c>
      <c r="AO4" s="1">
        <v>42554</v>
      </c>
      <c r="AP4" s="1">
        <v>3982</v>
      </c>
      <c r="AQ4" s="1">
        <v>13887</v>
      </c>
      <c r="AR4" s="1">
        <v>38636</v>
      </c>
      <c r="AS4" s="1">
        <v>6760</v>
      </c>
      <c r="AU4" s="1">
        <v>48970</v>
      </c>
      <c r="AV4" s="1">
        <v>31300</v>
      </c>
      <c r="AW4" s="1">
        <v>0</v>
      </c>
      <c r="AX4" s="1">
        <v>0</v>
      </c>
      <c r="AY4" s="1">
        <v>0</v>
      </c>
      <c r="AZ4" s="1">
        <v>23620</v>
      </c>
      <c r="BA4" s="1">
        <v>239906</v>
      </c>
      <c r="BB4" s="1">
        <v>77376</v>
      </c>
      <c r="BC4" s="1">
        <v>0</v>
      </c>
      <c r="BD4" s="1">
        <v>0</v>
      </c>
      <c r="BE4" s="1">
        <v>126170</v>
      </c>
      <c r="BF4" s="1">
        <v>60152.01</v>
      </c>
      <c r="BG4" s="1">
        <v>0</v>
      </c>
      <c r="BH4" s="1">
        <v>8832</v>
      </c>
      <c r="BI4" s="1">
        <v>0</v>
      </c>
      <c r="BJ4" s="1">
        <v>1174</v>
      </c>
      <c r="BK4" s="1">
        <v>0</v>
      </c>
      <c r="BL4" s="1">
        <v>0</v>
      </c>
      <c r="BM4" s="1">
        <v>3142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12058</v>
      </c>
      <c r="CA4" s="1">
        <v>0</v>
      </c>
      <c r="CB4" s="1">
        <v>0</v>
      </c>
      <c r="CC4" s="1">
        <v>0</v>
      </c>
      <c r="CE4" s="1">
        <v>0</v>
      </c>
      <c r="CF4" s="1">
        <v>0</v>
      </c>
      <c r="CG4" s="1">
        <v>40206</v>
      </c>
      <c r="CH4" s="1">
        <v>4032</v>
      </c>
      <c r="CI4" s="1">
        <v>0</v>
      </c>
      <c r="CJ4" s="1">
        <v>20832.25</v>
      </c>
      <c r="CK4" s="1">
        <v>0</v>
      </c>
      <c r="CL4" s="1">
        <v>0</v>
      </c>
    </row>
    <row r="5" spans="1:90">
      <c r="A5" s="3">
        <v>46050</v>
      </c>
      <c r="B5" s="2">
        <v>687</v>
      </c>
      <c r="C5" s="1">
        <v>254</v>
      </c>
      <c r="D5" s="1">
        <v>0</v>
      </c>
      <c r="E5" s="2">
        <v>34697</v>
      </c>
      <c r="F5" s="1">
        <v>43086</v>
      </c>
      <c r="G5" s="2">
        <v>3414229</v>
      </c>
      <c r="H5" s="1">
        <v>753298</v>
      </c>
      <c r="I5" s="1">
        <v>0</v>
      </c>
      <c r="J5" s="1">
        <v>2842022</v>
      </c>
      <c r="K5" s="2">
        <v>572207</v>
      </c>
      <c r="L5" s="1">
        <v>12711290.210000001</v>
      </c>
      <c r="M5" s="1">
        <v>25864632.440000001</v>
      </c>
      <c r="N5" s="1">
        <v>770676.55</v>
      </c>
      <c r="O5" s="2">
        <v>443</v>
      </c>
      <c r="P5" s="1">
        <v>4809</v>
      </c>
      <c r="Q5" s="1">
        <v>1231</v>
      </c>
      <c r="R5" s="1">
        <v>0</v>
      </c>
      <c r="S5" s="1">
        <v>4932433</v>
      </c>
      <c r="T5" s="1">
        <v>4833812.34</v>
      </c>
      <c r="U5" s="1">
        <v>98620.66</v>
      </c>
      <c r="V5" s="1">
        <v>4598931.99</v>
      </c>
      <c r="W5" s="1">
        <v>334001.01</v>
      </c>
      <c r="X5" s="1">
        <v>20201985.899999999</v>
      </c>
      <c r="Y5" s="1">
        <v>20156039.300000001</v>
      </c>
      <c r="Z5" s="1">
        <v>776160.23</v>
      </c>
      <c r="AA5" s="1">
        <v>25200</v>
      </c>
      <c r="AB5" s="1">
        <v>11798</v>
      </c>
      <c r="AC5" s="1">
        <v>5900</v>
      </c>
      <c r="AD5" s="1">
        <v>70.34</v>
      </c>
      <c r="AE5" s="1">
        <v>19752</v>
      </c>
      <c r="AF5" s="1">
        <v>13658.22</v>
      </c>
      <c r="AG5" s="1">
        <v>35868.720000000001</v>
      </c>
      <c r="AH5" s="1">
        <v>14388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33297</v>
      </c>
      <c r="AP5" s="1">
        <v>7282</v>
      </c>
      <c r="AQ5" s="1">
        <v>13221</v>
      </c>
      <c r="AR5" s="1">
        <v>37680</v>
      </c>
      <c r="AS5" s="1">
        <v>6620</v>
      </c>
      <c r="AU5" s="1">
        <v>41520</v>
      </c>
      <c r="AV5" s="1">
        <v>26551</v>
      </c>
      <c r="AW5" s="1">
        <v>0</v>
      </c>
      <c r="AX5" s="1">
        <v>0</v>
      </c>
      <c r="AY5" s="1">
        <v>0</v>
      </c>
      <c r="AZ5" s="1">
        <v>21230</v>
      </c>
      <c r="BA5" s="1">
        <v>0</v>
      </c>
      <c r="BB5" s="1">
        <v>67274</v>
      </c>
      <c r="BC5" s="1">
        <v>0</v>
      </c>
      <c r="BD5" s="1">
        <v>0</v>
      </c>
      <c r="BE5" s="1">
        <v>140967</v>
      </c>
      <c r="BF5" s="1">
        <v>59642.65</v>
      </c>
      <c r="BG5" s="1">
        <v>0</v>
      </c>
      <c r="BH5" s="1">
        <v>9408</v>
      </c>
      <c r="BI5" s="1">
        <v>0</v>
      </c>
      <c r="BJ5" s="1">
        <v>1196</v>
      </c>
      <c r="BK5" s="1">
        <v>0</v>
      </c>
      <c r="BL5" s="1">
        <v>0</v>
      </c>
      <c r="BM5" s="1">
        <v>3814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12088</v>
      </c>
      <c r="CA5" s="1">
        <v>0</v>
      </c>
      <c r="CB5" s="1">
        <v>0</v>
      </c>
      <c r="CC5" s="1">
        <v>0</v>
      </c>
      <c r="CE5" s="1">
        <v>0</v>
      </c>
      <c r="CF5" s="1">
        <v>0</v>
      </c>
      <c r="CG5" s="1">
        <v>40281</v>
      </c>
      <c r="CH5" s="1">
        <v>3742</v>
      </c>
      <c r="CI5" s="1">
        <v>0</v>
      </c>
      <c r="CJ5" s="1">
        <v>18070.54</v>
      </c>
      <c r="CK5" s="1">
        <v>0</v>
      </c>
      <c r="CL5" s="1">
        <v>0</v>
      </c>
    </row>
    <row r="6" spans="1:90">
      <c r="A6" s="3">
        <v>46049</v>
      </c>
      <c r="B6" s="2">
        <v>755</v>
      </c>
      <c r="C6" s="1">
        <v>319</v>
      </c>
      <c r="D6" s="1">
        <v>0</v>
      </c>
      <c r="E6" s="2">
        <v>36911</v>
      </c>
      <c r="F6" s="1">
        <v>44962</v>
      </c>
      <c r="G6" s="2">
        <v>3288600</v>
      </c>
      <c r="H6" s="1">
        <v>813159</v>
      </c>
      <c r="I6" s="1">
        <v>0</v>
      </c>
      <c r="J6" s="1">
        <v>2751250</v>
      </c>
      <c r="K6" s="2">
        <v>537350</v>
      </c>
      <c r="L6" s="1">
        <v>12544838.029999999</v>
      </c>
      <c r="M6" s="1">
        <v>25722283.710000001</v>
      </c>
      <c r="N6" s="1">
        <v>739661.11</v>
      </c>
      <c r="O6" s="2">
        <v>477</v>
      </c>
      <c r="P6" s="1">
        <v>5254</v>
      </c>
      <c r="Q6" s="1">
        <v>1342</v>
      </c>
      <c r="R6" s="1">
        <v>0</v>
      </c>
      <c r="S6" s="1">
        <v>5336374</v>
      </c>
      <c r="T6" s="1">
        <v>5229669.5199999996</v>
      </c>
      <c r="U6" s="1">
        <v>106704.48</v>
      </c>
      <c r="V6" s="1">
        <v>4983901.3899999997</v>
      </c>
      <c r="W6" s="1">
        <v>352322.61</v>
      </c>
      <c r="X6" s="1">
        <v>19680099.5</v>
      </c>
      <c r="Y6" s="1">
        <v>19456493.600000001</v>
      </c>
      <c r="Z6" s="1">
        <v>929416.26</v>
      </c>
      <c r="AA6" s="1">
        <v>28716</v>
      </c>
      <c r="AB6" s="1">
        <v>15370</v>
      </c>
      <c r="AC6" s="1">
        <v>7472</v>
      </c>
      <c r="AD6" s="1">
        <v>92.72</v>
      </c>
      <c r="AE6" s="1">
        <v>13938</v>
      </c>
      <c r="AF6" s="1">
        <v>14012.21</v>
      </c>
      <c r="AG6" s="1">
        <v>36921.47</v>
      </c>
      <c r="AH6" s="1">
        <v>12300</v>
      </c>
      <c r="AI6" s="1">
        <v>0</v>
      </c>
      <c r="AJ6" s="1">
        <v>0</v>
      </c>
      <c r="AK6" s="1">
        <v>0</v>
      </c>
      <c r="AL6" s="1">
        <v>0</v>
      </c>
      <c r="AM6" s="1">
        <v>985.49</v>
      </c>
      <c r="AN6" s="1">
        <v>0</v>
      </c>
      <c r="AO6" s="1">
        <v>60510</v>
      </c>
      <c r="AP6" s="1">
        <v>5382</v>
      </c>
      <c r="AQ6" s="1">
        <v>13222</v>
      </c>
      <c r="AR6" s="1">
        <v>56206</v>
      </c>
      <c r="AS6" s="1">
        <v>6710</v>
      </c>
      <c r="AU6" s="1">
        <v>39750</v>
      </c>
      <c r="AV6" s="1">
        <v>27692</v>
      </c>
      <c r="AW6" s="1">
        <v>0</v>
      </c>
      <c r="AX6" s="1">
        <v>0</v>
      </c>
      <c r="AY6" s="1">
        <v>0</v>
      </c>
      <c r="AZ6" s="1">
        <v>22178</v>
      </c>
      <c r="BA6" s="1">
        <v>13</v>
      </c>
      <c r="BB6" s="1">
        <v>85500</v>
      </c>
      <c r="BC6" s="1">
        <v>0</v>
      </c>
      <c r="BD6" s="1">
        <v>0</v>
      </c>
      <c r="BE6" s="1">
        <v>81340</v>
      </c>
      <c r="BF6" s="1">
        <v>51983.47</v>
      </c>
      <c r="BG6" s="1">
        <v>0</v>
      </c>
      <c r="BH6" s="1">
        <v>10688</v>
      </c>
      <c r="BI6" s="1">
        <v>0</v>
      </c>
      <c r="BJ6" s="1">
        <v>1388</v>
      </c>
      <c r="BK6" s="1">
        <v>0</v>
      </c>
      <c r="BL6" s="1">
        <v>0</v>
      </c>
      <c r="BM6" s="1">
        <v>3754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13886</v>
      </c>
      <c r="CA6" s="1">
        <v>0</v>
      </c>
      <c r="CB6" s="1">
        <v>0</v>
      </c>
      <c r="CC6" s="1">
        <v>0</v>
      </c>
      <c r="CE6" s="1">
        <v>0</v>
      </c>
      <c r="CF6" s="1">
        <v>0</v>
      </c>
      <c r="CG6" s="1">
        <v>41998</v>
      </c>
      <c r="CH6" s="1">
        <v>4806</v>
      </c>
      <c r="CI6" s="1">
        <v>0</v>
      </c>
      <c r="CJ6" s="1">
        <v>19365.86</v>
      </c>
      <c r="CK6" s="1">
        <v>0</v>
      </c>
      <c r="CL6" s="1">
        <v>0</v>
      </c>
    </row>
    <row r="7" spans="1:90">
      <c r="A7" s="3">
        <v>46048</v>
      </c>
      <c r="B7" s="2">
        <v>793</v>
      </c>
      <c r="C7" s="1">
        <v>323</v>
      </c>
      <c r="D7" s="1">
        <v>0</v>
      </c>
      <c r="E7" s="2">
        <v>40807</v>
      </c>
      <c r="F7" s="1">
        <v>49857</v>
      </c>
      <c r="G7" s="2">
        <v>3166320</v>
      </c>
      <c r="H7" s="1">
        <v>697792</v>
      </c>
      <c r="I7" s="1">
        <v>0</v>
      </c>
      <c r="J7" s="1">
        <v>2853755</v>
      </c>
      <c r="K7" s="2">
        <v>312565</v>
      </c>
      <c r="L7" s="1">
        <v>12539546.689999999</v>
      </c>
      <c r="M7" s="1">
        <v>27927939.559999999</v>
      </c>
      <c r="N7" s="1">
        <v>867646.14</v>
      </c>
      <c r="O7" s="2">
        <v>524</v>
      </c>
      <c r="P7" s="1">
        <v>5928</v>
      </c>
      <c r="Q7" s="1">
        <v>1488</v>
      </c>
      <c r="R7" s="1">
        <v>0</v>
      </c>
      <c r="S7" s="1">
        <v>4952363</v>
      </c>
      <c r="T7" s="1">
        <v>4853346.74</v>
      </c>
      <c r="U7" s="1">
        <v>99016.26</v>
      </c>
      <c r="V7" s="1">
        <v>4651590.16</v>
      </c>
      <c r="W7" s="1">
        <v>299222.84000000003</v>
      </c>
      <c r="X7" s="1">
        <v>21886931.68</v>
      </c>
      <c r="Y7" s="1">
        <v>22242519.199999999</v>
      </c>
      <c r="Z7" s="1">
        <v>733057.32</v>
      </c>
      <c r="AA7" s="1">
        <v>30068</v>
      </c>
      <c r="AB7" s="1">
        <v>16212</v>
      </c>
      <c r="AC7" s="1">
        <v>6362</v>
      </c>
      <c r="AD7" s="1">
        <v>216.76</v>
      </c>
      <c r="AE7" s="1">
        <v>17058</v>
      </c>
      <c r="AF7" s="1">
        <v>14174.82</v>
      </c>
      <c r="AG7" s="1">
        <v>37256.54</v>
      </c>
      <c r="AH7" s="1">
        <v>14100</v>
      </c>
      <c r="AI7" s="1">
        <v>0</v>
      </c>
      <c r="AJ7" s="1">
        <v>0</v>
      </c>
      <c r="AK7" s="1">
        <v>0</v>
      </c>
      <c r="AL7" s="1">
        <v>0</v>
      </c>
      <c r="AM7" s="1">
        <v>14992.17</v>
      </c>
      <c r="AN7" s="1">
        <v>0</v>
      </c>
      <c r="AO7" s="1">
        <v>64817</v>
      </c>
      <c r="AP7" s="1">
        <v>4864</v>
      </c>
      <c r="AQ7" s="1">
        <v>14929</v>
      </c>
      <c r="AR7" s="1">
        <v>134488</v>
      </c>
      <c r="AS7" s="1">
        <v>10060</v>
      </c>
      <c r="AU7" s="1">
        <v>56160</v>
      </c>
      <c r="AV7" s="1">
        <v>27258</v>
      </c>
      <c r="AW7" s="1">
        <v>0</v>
      </c>
      <c r="AX7" s="1">
        <v>0</v>
      </c>
      <c r="AY7" s="1">
        <v>0</v>
      </c>
      <c r="AZ7" s="1">
        <v>23728</v>
      </c>
      <c r="BA7" s="1">
        <v>0</v>
      </c>
      <c r="BB7" s="1">
        <v>78188</v>
      </c>
      <c r="BC7" s="1">
        <v>0</v>
      </c>
      <c r="BD7" s="1">
        <v>0</v>
      </c>
      <c r="BE7" s="1">
        <v>27857</v>
      </c>
      <c r="BF7" s="1">
        <v>59574.67</v>
      </c>
      <c r="BG7" s="1">
        <v>0</v>
      </c>
      <c r="BH7" s="1">
        <v>11568</v>
      </c>
      <c r="BI7" s="1">
        <v>0</v>
      </c>
      <c r="BJ7" s="1">
        <v>1200</v>
      </c>
      <c r="BK7" s="1">
        <v>0</v>
      </c>
      <c r="BL7" s="1">
        <v>0</v>
      </c>
      <c r="BM7" s="1">
        <v>3848</v>
      </c>
      <c r="BN7" s="1">
        <v>0</v>
      </c>
      <c r="BO7" s="1">
        <v>0</v>
      </c>
      <c r="BP7" s="1">
        <v>70525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12190</v>
      </c>
      <c r="CA7" s="1">
        <v>0</v>
      </c>
      <c r="CB7" s="1">
        <v>0</v>
      </c>
      <c r="CC7" s="1">
        <v>0</v>
      </c>
      <c r="CE7" s="1">
        <v>0</v>
      </c>
      <c r="CF7" s="1">
        <v>0</v>
      </c>
      <c r="CG7" s="1">
        <v>40528</v>
      </c>
      <c r="CH7" s="1">
        <v>3731</v>
      </c>
      <c r="CI7" s="1">
        <v>0</v>
      </c>
      <c r="CJ7" s="1">
        <v>21081.67</v>
      </c>
      <c r="CK7" s="1">
        <v>0</v>
      </c>
      <c r="CL7" s="1">
        <v>0</v>
      </c>
    </row>
    <row r="8" spans="1:90">
      <c r="A8" s="3">
        <v>46047</v>
      </c>
      <c r="B8" s="2">
        <v>845</v>
      </c>
      <c r="C8" s="1">
        <v>362</v>
      </c>
      <c r="D8" s="1">
        <v>0</v>
      </c>
      <c r="E8" s="2">
        <v>39423</v>
      </c>
      <c r="F8" s="1">
        <v>47779</v>
      </c>
      <c r="G8" s="2">
        <v>3044619</v>
      </c>
      <c r="H8" s="1">
        <v>703060</v>
      </c>
      <c r="I8" s="1">
        <v>0</v>
      </c>
      <c r="J8" s="1">
        <v>2659173</v>
      </c>
      <c r="K8" s="2">
        <v>385446</v>
      </c>
      <c r="L8" s="1">
        <v>12576045.84</v>
      </c>
      <c r="M8" s="1">
        <v>26283884.5</v>
      </c>
      <c r="N8" s="1">
        <v>685740.06</v>
      </c>
      <c r="O8" s="2">
        <v>482</v>
      </c>
      <c r="P8" s="1">
        <v>5025</v>
      </c>
      <c r="Q8" s="1">
        <v>1316</v>
      </c>
      <c r="R8" s="1">
        <v>0</v>
      </c>
      <c r="S8" s="1">
        <v>4920150</v>
      </c>
      <c r="T8" s="1">
        <v>4821781</v>
      </c>
      <c r="U8" s="1">
        <v>98369</v>
      </c>
      <c r="V8" s="1">
        <v>4610714.82</v>
      </c>
      <c r="W8" s="1">
        <v>308685.18</v>
      </c>
      <c r="X8" s="1">
        <v>20248770.02</v>
      </c>
      <c r="Y8" s="1">
        <v>20588848.010000002</v>
      </c>
      <c r="Z8" s="1">
        <v>774886.67</v>
      </c>
      <c r="AA8" s="1">
        <v>30914</v>
      </c>
      <c r="AB8" s="1">
        <v>15564</v>
      </c>
      <c r="AC8" s="1">
        <v>6682</v>
      </c>
      <c r="AD8" s="1">
        <v>90.24</v>
      </c>
      <c r="AE8" s="1">
        <v>16416</v>
      </c>
      <c r="AF8" s="1">
        <v>15882.09</v>
      </c>
      <c r="AG8" s="1">
        <v>38320.339999999997</v>
      </c>
      <c r="AH8" s="1">
        <v>16504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54547</v>
      </c>
      <c r="AP8" s="1">
        <v>5270</v>
      </c>
      <c r="AQ8" s="1">
        <v>13827</v>
      </c>
      <c r="AR8" s="1">
        <v>22364</v>
      </c>
      <c r="AS8" s="1">
        <v>7520</v>
      </c>
      <c r="AU8" s="1">
        <v>47160</v>
      </c>
      <c r="AV8" s="1">
        <v>46763</v>
      </c>
      <c r="AW8" s="1">
        <v>0</v>
      </c>
      <c r="AX8" s="1">
        <v>0</v>
      </c>
      <c r="AY8" s="1">
        <v>0</v>
      </c>
      <c r="AZ8" s="1">
        <v>22180</v>
      </c>
      <c r="BA8" s="1">
        <v>0</v>
      </c>
      <c r="BB8" s="1">
        <v>92774</v>
      </c>
      <c r="BC8" s="1">
        <v>0</v>
      </c>
      <c r="BD8" s="1">
        <v>0</v>
      </c>
      <c r="BE8" s="1">
        <v>41636</v>
      </c>
      <c r="BF8" s="1">
        <v>57052.4</v>
      </c>
      <c r="BG8" s="1">
        <v>0</v>
      </c>
      <c r="BH8" s="1">
        <v>10928</v>
      </c>
      <c r="BI8" s="1">
        <v>0</v>
      </c>
      <c r="BJ8" s="1">
        <v>1144</v>
      </c>
      <c r="BK8" s="1">
        <v>0</v>
      </c>
      <c r="BL8" s="1">
        <v>0</v>
      </c>
      <c r="BM8" s="1">
        <v>3896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10638</v>
      </c>
      <c r="CA8" s="1">
        <v>0</v>
      </c>
      <c r="CB8" s="1">
        <v>0</v>
      </c>
      <c r="CC8" s="1">
        <v>0</v>
      </c>
      <c r="CE8" s="1">
        <v>0</v>
      </c>
      <c r="CF8" s="1">
        <v>0</v>
      </c>
      <c r="CG8" s="1">
        <v>30550</v>
      </c>
      <c r="CH8" s="1">
        <v>4265</v>
      </c>
      <c r="CI8" s="1">
        <v>0</v>
      </c>
      <c r="CJ8" s="1">
        <v>19089.47</v>
      </c>
      <c r="CK8" s="1">
        <v>0</v>
      </c>
      <c r="CL8" s="1">
        <v>0</v>
      </c>
    </row>
    <row r="9" spans="1:90">
      <c r="A9" s="3">
        <v>46046</v>
      </c>
      <c r="B9" s="2">
        <v>852</v>
      </c>
      <c r="C9" s="1">
        <v>360</v>
      </c>
      <c r="D9" s="1">
        <v>0</v>
      </c>
      <c r="E9" s="2">
        <v>37067</v>
      </c>
      <c r="F9" s="1">
        <v>45853</v>
      </c>
      <c r="G9" s="2">
        <v>3288484</v>
      </c>
      <c r="H9" s="1">
        <v>769155</v>
      </c>
      <c r="I9" s="1">
        <v>0</v>
      </c>
      <c r="J9" s="1">
        <v>2983975</v>
      </c>
      <c r="K9" s="2">
        <v>304509</v>
      </c>
      <c r="L9" s="1">
        <v>12555161.880000001</v>
      </c>
      <c r="M9" s="1">
        <v>28455746.710000001</v>
      </c>
      <c r="N9" s="1">
        <v>741383.01</v>
      </c>
      <c r="O9" s="2">
        <v>515</v>
      </c>
      <c r="P9" s="1">
        <v>5313</v>
      </c>
      <c r="Q9" s="1">
        <v>1375</v>
      </c>
      <c r="R9" s="1">
        <v>0</v>
      </c>
      <c r="S9" s="1">
        <v>4879462</v>
      </c>
      <c r="T9" s="1">
        <v>4781879.76</v>
      </c>
      <c r="U9" s="1">
        <v>97582.24</v>
      </c>
      <c r="V9" s="1">
        <v>4542740.12</v>
      </c>
      <c r="W9" s="1">
        <v>336371.88</v>
      </c>
      <c r="X9" s="1">
        <v>22246063.850000001</v>
      </c>
      <c r="Y9" s="1">
        <v>22783628.66</v>
      </c>
      <c r="Z9" s="1">
        <v>792656.12</v>
      </c>
      <c r="AA9" s="1">
        <v>33760</v>
      </c>
      <c r="AB9" s="1">
        <v>16432</v>
      </c>
      <c r="AC9" s="1">
        <v>8870</v>
      </c>
      <c r="AD9" s="1">
        <v>147.04</v>
      </c>
      <c r="AE9" s="1">
        <v>18204</v>
      </c>
      <c r="AF9" s="1">
        <v>15979.01</v>
      </c>
      <c r="AG9" s="1">
        <v>39114.79</v>
      </c>
      <c r="AH9" s="1">
        <v>15336</v>
      </c>
      <c r="AI9" s="1">
        <v>0</v>
      </c>
      <c r="AJ9" s="1">
        <v>0</v>
      </c>
      <c r="AK9" s="1">
        <v>0</v>
      </c>
      <c r="AL9" s="1">
        <v>0</v>
      </c>
      <c r="AM9" s="1">
        <v>3150.08</v>
      </c>
      <c r="AN9" s="1">
        <v>0</v>
      </c>
      <c r="AO9" s="1">
        <v>94125</v>
      </c>
      <c r="AP9" s="1">
        <v>6392</v>
      </c>
      <c r="AQ9" s="1">
        <v>14480</v>
      </c>
      <c r="AR9" s="1">
        <v>25566</v>
      </c>
      <c r="AS9" s="1">
        <v>9740</v>
      </c>
      <c r="AU9" s="1">
        <v>47200</v>
      </c>
      <c r="AV9" s="1">
        <v>29498</v>
      </c>
      <c r="AW9" s="1">
        <v>0</v>
      </c>
      <c r="AX9" s="1">
        <v>0</v>
      </c>
      <c r="AY9" s="1">
        <v>0</v>
      </c>
      <c r="AZ9" s="1">
        <v>22546</v>
      </c>
      <c r="BA9" s="1">
        <v>13</v>
      </c>
      <c r="BB9" s="1">
        <v>83548</v>
      </c>
      <c r="BC9" s="1">
        <v>0</v>
      </c>
      <c r="BD9" s="1">
        <v>0</v>
      </c>
      <c r="BE9" s="1">
        <v>71515</v>
      </c>
      <c r="BF9" s="1">
        <v>76775.009999999995</v>
      </c>
      <c r="BG9" s="1">
        <v>0</v>
      </c>
      <c r="BH9" s="1">
        <v>10880</v>
      </c>
      <c r="BI9" s="1">
        <v>3249</v>
      </c>
      <c r="BJ9" s="1">
        <v>1336</v>
      </c>
      <c r="BK9" s="1">
        <v>0</v>
      </c>
      <c r="BL9" s="1">
        <v>0</v>
      </c>
      <c r="BM9" s="1">
        <v>4156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17062</v>
      </c>
      <c r="CA9" s="1">
        <v>0</v>
      </c>
      <c r="CB9" s="1">
        <v>0</v>
      </c>
      <c r="CC9" s="1">
        <v>0</v>
      </c>
      <c r="CE9" s="1">
        <v>0</v>
      </c>
      <c r="CF9" s="1">
        <v>0</v>
      </c>
      <c r="CG9" s="1">
        <v>29983</v>
      </c>
      <c r="CH9" s="1">
        <v>4493</v>
      </c>
      <c r="CI9" s="1">
        <v>0</v>
      </c>
      <c r="CJ9" s="1">
        <v>20342.38</v>
      </c>
      <c r="CK9" s="1">
        <v>0</v>
      </c>
      <c r="CL9" s="1">
        <v>0</v>
      </c>
    </row>
    <row r="10" spans="1:90">
      <c r="A10" s="3">
        <v>46045</v>
      </c>
      <c r="B10" s="2">
        <v>983</v>
      </c>
      <c r="C10" s="1">
        <v>398</v>
      </c>
      <c r="D10" s="1">
        <v>0</v>
      </c>
      <c r="E10" s="2">
        <v>38906</v>
      </c>
      <c r="F10" s="1">
        <v>48861</v>
      </c>
      <c r="G10" s="2">
        <v>3747091</v>
      </c>
      <c r="H10" s="1">
        <v>899312</v>
      </c>
      <c r="I10" s="1">
        <v>0</v>
      </c>
      <c r="J10" s="1">
        <v>3277417</v>
      </c>
      <c r="K10" s="2">
        <v>469674</v>
      </c>
      <c r="L10" s="1">
        <v>12424449.34</v>
      </c>
      <c r="M10" s="1">
        <v>29577169.890000001</v>
      </c>
      <c r="N10" s="1">
        <v>807317.41</v>
      </c>
      <c r="O10" s="2">
        <v>587</v>
      </c>
      <c r="P10" s="1">
        <v>5561</v>
      </c>
      <c r="Q10" s="1">
        <v>1459</v>
      </c>
      <c r="R10" s="1">
        <v>0</v>
      </c>
      <c r="S10" s="1">
        <v>4879385</v>
      </c>
      <c r="T10" s="1">
        <v>4781809.3</v>
      </c>
      <c r="U10" s="1">
        <v>97575.7</v>
      </c>
      <c r="V10" s="1">
        <v>4562657.9800000004</v>
      </c>
      <c r="W10" s="1">
        <v>317327.02</v>
      </c>
      <c r="X10" s="1">
        <v>23821460.370000001</v>
      </c>
      <c r="Y10" s="1">
        <v>23546762.640000001</v>
      </c>
      <c r="Z10" s="1">
        <v>1151022.51</v>
      </c>
      <c r="AA10" s="1">
        <v>35094</v>
      </c>
      <c r="AB10" s="1">
        <v>15298</v>
      </c>
      <c r="AC10" s="1">
        <v>8646</v>
      </c>
      <c r="AD10" s="1">
        <v>145.21</v>
      </c>
      <c r="AE10" s="1">
        <v>18408</v>
      </c>
      <c r="AF10" s="1">
        <v>16913.330000000002</v>
      </c>
      <c r="AG10" s="1">
        <v>46067.12</v>
      </c>
      <c r="AH10" s="1">
        <v>18477</v>
      </c>
      <c r="AI10" s="1">
        <v>0</v>
      </c>
      <c r="AJ10" s="1">
        <v>0</v>
      </c>
      <c r="AK10" s="1">
        <v>1999.45</v>
      </c>
      <c r="AL10" s="1">
        <v>0</v>
      </c>
      <c r="AM10" s="1">
        <v>14</v>
      </c>
      <c r="AN10" s="1">
        <v>0</v>
      </c>
      <c r="AO10" s="1">
        <v>25070</v>
      </c>
      <c r="AP10" s="1">
        <v>5400</v>
      </c>
      <c r="AQ10" s="1">
        <v>15835</v>
      </c>
      <c r="AR10" s="1">
        <v>31438</v>
      </c>
      <c r="AS10" s="1">
        <v>12460</v>
      </c>
      <c r="AU10" s="1">
        <v>56250</v>
      </c>
      <c r="AV10" s="1">
        <v>27557</v>
      </c>
      <c r="AW10" s="1">
        <v>0</v>
      </c>
      <c r="AX10" s="1">
        <v>0</v>
      </c>
      <c r="AY10" s="1">
        <v>0</v>
      </c>
      <c r="AZ10" s="1">
        <v>23662</v>
      </c>
      <c r="BA10" s="1">
        <v>13</v>
      </c>
      <c r="BB10" s="1">
        <v>94086</v>
      </c>
      <c r="BC10" s="1">
        <v>0</v>
      </c>
      <c r="BD10" s="1">
        <v>0</v>
      </c>
      <c r="BE10" s="1">
        <v>112176</v>
      </c>
      <c r="BF10" s="1">
        <v>70157.94</v>
      </c>
      <c r="BG10" s="1">
        <v>0</v>
      </c>
      <c r="BH10" s="1">
        <v>11600</v>
      </c>
      <c r="BI10" s="1">
        <v>50333</v>
      </c>
      <c r="BJ10" s="1">
        <v>944</v>
      </c>
      <c r="BK10" s="1">
        <v>0</v>
      </c>
      <c r="BL10" s="1">
        <v>0</v>
      </c>
      <c r="BM10" s="1">
        <v>4582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12660</v>
      </c>
      <c r="CA10" s="1">
        <v>0</v>
      </c>
      <c r="CB10" s="1">
        <v>0</v>
      </c>
      <c r="CC10" s="1">
        <v>0</v>
      </c>
      <c r="CE10" s="1">
        <v>0</v>
      </c>
      <c r="CF10" s="1">
        <v>0</v>
      </c>
      <c r="CG10" s="1">
        <v>25034</v>
      </c>
      <c r="CH10" s="1">
        <v>3133</v>
      </c>
      <c r="CI10" s="1">
        <v>0</v>
      </c>
      <c r="CJ10" s="1">
        <v>20102.79</v>
      </c>
      <c r="CK10" s="1">
        <v>0</v>
      </c>
      <c r="CL10" s="1">
        <v>0</v>
      </c>
    </row>
    <row r="11" spans="1:90">
      <c r="A11" s="3">
        <v>46044</v>
      </c>
      <c r="B11" s="2">
        <v>1033</v>
      </c>
      <c r="C11" s="1">
        <v>378</v>
      </c>
      <c r="D11" s="1">
        <v>0</v>
      </c>
      <c r="E11" s="2">
        <v>39373</v>
      </c>
      <c r="F11" s="1">
        <v>49018</v>
      </c>
      <c r="G11" s="2">
        <v>4008120</v>
      </c>
      <c r="H11" s="1">
        <v>904868</v>
      </c>
      <c r="I11" s="1">
        <v>0</v>
      </c>
      <c r="J11" s="1">
        <v>3563584</v>
      </c>
      <c r="K11" s="2">
        <v>444536</v>
      </c>
      <c r="L11" s="1">
        <v>12442926.25</v>
      </c>
      <c r="M11" s="1">
        <v>32500431.039999999</v>
      </c>
      <c r="N11" s="1">
        <v>1163481.9099999999</v>
      </c>
      <c r="O11" s="2">
        <v>532</v>
      </c>
      <c r="P11" s="1">
        <v>7441</v>
      </c>
      <c r="Q11" s="1">
        <v>1909</v>
      </c>
      <c r="R11" s="1">
        <v>0</v>
      </c>
      <c r="S11" s="1">
        <v>6220323</v>
      </c>
      <c r="T11" s="1">
        <v>6095932.54</v>
      </c>
      <c r="U11" s="1">
        <v>124390.46</v>
      </c>
      <c r="V11" s="1">
        <v>5812184.7000000002</v>
      </c>
      <c r="W11" s="1">
        <v>408238.3</v>
      </c>
      <c r="X11" s="1">
        <v>25138806.59</v>
      </c>
      <c r="Y11" s="1">
        <v>25012995.469999999</v>
      </c>
      <c r="Z11" s="1">
        <v>1267112.98</v>
      </c>
      <c r="AA11" s="1">
        <v>33924</v>
      </c>
      <c r="AB11" s="1">
        <v>18118</v>
      </c>
      <c r="AC11" s="1">
        <v>9280</v>
      </c>
      <c r="AD11" s="1">
        <v>55.83</v>
      </c>
      <c r="AE11" s="1">
        <v>20526</v>
      </c>
      <c r="AF11" s="1">
        <v>17046.099999999999</v>
      </c>
      <c r="AG11" s="1">
        <v>39913.83</v>
      </c>
      <c r="AH11" s="1">
        <v>20950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161</v>
      </c>
      <c r="AO11" s="1">
        <v>37942</v>
      </c>
      <c r="AP11" s="1">
        <v>5600</v>
      </c>
      <c r="AQ11" s="1">
        <v>14707</v>
      </c>
      <c r="AR11" s="1">
        <v>47696</v>
      </c>
      <c r="AS11" s="1">
        <v>12410</v>
      </c>
      <c r="AU11" s="1">
        <v>52290</v>
      </c>
      <c r="AV11" s="1">
        <v>27695</v>
      </c>
      <c r="AW11" s="1">
        <v>0</v>
      </c>
      <c r="AX11" s="1">
        <v>0</v>
      </c>
      <c r="AY11" s="1">
        <v>0</v>
      </c>
      <c r="AZ11" s="1">
        <v>27296</v>
      </c>
      <c r="BA11" s="1">
        <v>279194</v>
      </c>
      <c r="BB11" s="1">
        <v>80564</v>
      </c>
      <c r="BC11" s="1">
        <v>0</v>
      </c>
      <c r="BD11" s="1">
        <v>0</v>
      </c>
      <c r="BE11" s="1">
        <v>193539</v>
      </c>
      <c r="BF11" s="1">
        <v>67154.69</v>
      </c>
      <c r="BG11" s="1">
        <v>0</v>
      </c>
      <c r="BH11" s="1">
        <v>11696</v>
      </c>
      <c r="BI11" s="1">
        <v>46863</v>
      </c>
      <c r="BJ11" s="1">
        <v>1170</v>
      </c>
      <c r="BK11" s="1">
        <v>0</v>
      </c>
      <c r="BL11" s="1">
        <v>0</v>
      </c>
      <c r="BM11" s="1">
        <v>4686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14108</v>
      </c>
      <c r="CA11" s="1">
        <v>0</v>
      </c>
      <c r="CB11" s="1">
        <v>0</v>
      </c>
      <c r="CC11" s="1">
        <v>0</v>
      </c>
      <c r="CE11" s="1">
        <v>0</v>
      </c>
      <c r="CF11" s="1">
        <v>0</v>
      </c>
      <c r="CG11" s="1">
        <v>18782</v>
      </c>
      <c r="CH11" s="1">
        <v>2417</v>
      </c>
      <c r="CI11" s="1">
        <v>0</v>
      </c>
      <c r="CJ11" s="1">
        <v>22925.200000000001</v>
      </c>
      <c r="CK11" s="1">
        <v>0</v>
      </c>
      <c r="CL11" s="1">
        <v>0</v>
      </c>
    </row>
    <row r="12" spans="1:90">
      <c r="A12" s="3">
        <v>46043</v>
      </c>
      <c r="B12" s="2">
        <v>1129</v>
      </c>
      <c r="C12" s="1">
        <v>355</v>
      </c>
      <c r="D12" s="1">
        <v>0</v>
      </c>
      <c r="E12" s="2">
        <v>41802</v>
      </c>
      <c r="F12" s="1">
        <v>51449</v>
      </c>
      <c r="G12" s="2">
        <v>3906133</v>
      </c>
      <c r="H12" s="1">
        <v>731029</v>
      </c>
      <c r="I12" s="1">
        <v>0</v>
      </c>
      <c r="J12" s="1">
        <v>3430218</v>
      </c>
      <c r="K12" s="2">
        <v>475915</v>
      </c>
      <c r="L12" s="1">
        <v>12184783.960000001</v>
      </c>
      <c r="M12" s="1">
        <v>30182004.34</v>
      </c>
      <c r="N12" s="1">
        <v>878232.76</v>
      </c>
      <c r="O12" s="2">
        <v>622</v>
      </c>
      <c r="P12" s="1">
        <v>5614</v>
      </c>
      <c r="Q12" s="1">
        <v>1340</v>
      </c>
      <c r="R12" s="1">
        <v>0</v>
      </c>
      <c r="S12" s="1">
        <v>5425806</v>
      </c>
      <c r="T12" s="1">
        <v>5317312.88</v>
      </c>
      <c r="U12" s="1">
        <v>108493.12</v>
      </c>
      <c r="V12" s="1">
        <v>5085875.8600000003</v>
      </c>
      <c r="W12" s="1">
        <v>338780.14</v>
      </c>
      <c r="X12" s="1">
        <v>23757872.699999999</v>
      </c>
      <c r="Y12" s="1">
        <v>23863246.809999999</v>
      </c>
      <c r="Z12" s="1">
        <v>892951.7</v>
      </c>
      <c r="AA12" s="1">
        <v>36344</v>
      </c>
      <c r="AB12" s="1">
        <v>18242</v>
      </c>
      <c r="AC12" s="1">
        <v>9262</v>
      </c>
      <c r="AD12" s="1">
        <v>107.86</v>
      </c>
      <c r="AE12" s="1">
        <v>17940</v>
      </c>
      <c r="AF12" s="1">
        <v>17465.14</v>
      </c>
      <c r="AG12" s="1">
        <v>43743.37</v>
      </c>
      <c r="AH12" s="1">
        <v>18200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800</v>
      </c>
      <c r="AO12" s="1">
        <v>61419</v>
      </c>
      <c r="AP12" s="1">
        <v>4896</v>
      </c>
      <c r="AQ12" s="1">
        <v>15678</v>
      </c>
      <c r="AR12" s="1">
        <v>42994</v>
      </c>
      <c r="AS12" s="1">
        <v>11190</v>
      </c>
      <c r="AU12" s="1">
        <v>43590</v>
      </c>
      <c r="AV12" s="1">
        <v>28896</v>
      </c>
      <c r="AW12" s="1">
        <v>0</v>
      </c>
      <c r="AX12" s="1">
        <v>0</v>
      </c>
      <c r="AY12" s="1">
        <v>0</v>
      </c>
      <c r="AZ12" s="1">
        <v>23754</v>
      </c>
      <c r="BA12" s="1">
        <v>0</v>
      </c>
      <c r="BB12" s="1">
        <v>79688</v>
      </c>
      <c r="BC12" s="1">
        <v>0</v>
      </c>
      <c r="BD12" s="1">
        <v>0</v>
      </c>
      <c r="BE12" s="1">
        <v>193028</v>
      </c>
      <c r="BF12" s="1">
        <v>77960.289999999994</v>
      </c>
      <c r="BG12" s="1">
        <v>0</v>
      </c>
      <c r="BH12" s="1">
        <v>12928</v>
      </c>
      <c r="BI12" s="1">
        <v>43837</v>
      </c>
      <c r="BJ12" s="1">
        <v>1308</v>
      </c>
      <c r="BK12" s="1">
        <v>0</v>
      </c>
      <c r="BL12" s="1">
        <v>0</v>
      </c>
      <c r="BM12" s="1">
        <v>5078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18370</v>
      </c>
      <c r="CA12" s="1">
        <v>0</v>
      </c>
      <c r="CB12" s="1">
        <v>0</v>
      </c>
      <c r="CC12" s="1">
        <v>0</v>
      </c>
      <c r="CE12" s="1">
        <v>0</v>
      </c>
      <c r="CF12" s="1">
        <v>0</v>
      </c>
      <c r="CG12" s="1">
        <v>19446</v>
      </c>
      <c r="CH12" s="1">
        <v>2806</v>
      </c>
      <c r="CI12" s="1">
        <v>0</v>
      </c>
      <c r="CJ12" s="1">
        <v>19557.34</v>
      </c>
      <c r="CK12" s="1">
        <v>0</v>
      </c>
      <c r="CL12" s="1">
        <v>0</v>
      </c>
    </row>
    <row r="13" spans="1:90">
      <c r="A13" s="3">
        <v>46042</v>
      </c>
      <c r="B13" s="2">
        <v>1299</v>
      </c>
      <c r="C13" s="1">
        <v>441</v>
      </c>
      <c r="D13" s="1">
        <v>0</v>
      </c>
      <c r="E13" s="2">
        <v>39981</v>
      </c>
      <c r="F13" s="1">
        <v>50344</v>
      </c>
      <c r="G13" s="2">
        <v>4042985</v>
      </c>
      <c r="H13" s="1">
        <v>839584</v>
      </c>
      <c r="I13" s="1">
        <v>0</v>
      </c>
      <c r="J13" s="1">
        <v>3395399</v>
      </c>
      <c r="K13" s="2">
        <v>647586</v>
      </c>
      <c r="L13" s="1">
        <v>12170748.140000001</v>
      </c>
      <c r="M13" s="1">
        <v>30808327.43</v>
      </c>
      <c r="N13" s="1">
        <v>881160.99</v>
      </c>
      <c r="O13" s="2">
        <v>638</v>
      </c>
      <c r="P13" s="1">
        <v>5907</v>
      </c>
      <c r="Q13" s="1">
        <v>1485</v>
      </c>
      <c r="R13" s="1">
        <v>0</v>
      </c>
      <c r="S13" s="1">
        <v>6177862</v>
      </c>
      <c r="T13" s="1">
        <v>6054322.7599999998</v>
      </c>
      <c r="U13" s="1">
        <v>123539.24</v>
      </c>
      <c r="V13" s="1">
        <v>5770062.4900000002</v>
      </c>
      <c r="W13" s="1">
        <v>408099.51</v>
      </c>
      <c r="X13" s="1">
        <v>23485048.260000002</v>
      </c>
      <c r="Y13" s="1">
        <v>23515108.390000001</v>
      </c>
      <c r="Z13" s="1">
        <v>1115357.2</v>
      </c>
      <c r="AA13" s="1">
        <v>36390</v>
      </c>
      <c r="AB13" s="1">
        <v>19194</v>
      </c>
      <c r="AC13" s="1">
        <v>8892</v>
      </c>
      <c r="AD13" s="1">
        <v>475.01</v>
      </c>
      <c r="AE13" s="1">
        <v>19680</v>
      </c>
      <c r="AF13" s="1">
        <v>16597.560000000001</v>
      </c>
      <c r="AG13" s="1">
        <v>42633.94</v>
      </c>
      <c r="AH13" s="1">
        <v>17946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34530</v>
      </c>
      <c r="AP13" s="1">
        <v>4226</v>
      </c>
      <c r="AQ13" s="1">
        <v>14610</v>
      </c>
      <c r="AR13" s="1">
        <v>60644</v>
      </c>
      <c r="AS13" s="1">
        <v>12180</v>
      </c>
      <c r="AU13" s="1">
        <v>51520</v>
      </c>
      <c r="AV13" s="1">
        <v>26039</v>
      </c>
      <c r="AW13" s="1">
        <v>0</v>
      </c>
      <c r="AX13" s="1">
        <v>0</v>
      </c>
      <c r="AY13" s="1">
        <v>0</v>
      </c>
      <c r="AZ13" s="1">
        <v>24624</v>
      </c>
      <c r="BA13" s="1">
        <v>0</v>
      </c>
      <c r="BB13" s="1">
        <v>79086</v>
      </c>
      <c r="BC13" s="1">
        <v>0</v>
      </c>
      <c r="BD13" s="1">
        <v>0</v>
      </c>
      <c r="BE13" s="1">
        <v>171442</v>
      </c>
      <c r="BF13" s="1">
        <v>69403.53</v>
      </c>
      <c r="BG13" s="1">
        <v>0</v>
      </c>
      <c r="BH13" s="1">
        <v>12608</v>
      </c>
      <c r="BI13" s="1">
        <v>49177</v>
      </c>
      <c r="BJ13" s="1">
        <v>1370</v>
      </c>
      <c r="BK13" s="1">
        <v>0</v>
      </c>
      <c r="BL13" s="1">
        <v>0</v>
      </c>
      <c r="BM13" s="1">
        <v>5152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16722</v>
      </c>
      <c r="CA13" s="1">
        <v>0</v>
      </c>
      <c r="CB13" s="1">
        <v>0</v>
      </c>
      <c r="CC13" s="1">
        <v>0</v>
      </c>
      <c r="CE13" s="1">
        <v>0</v>
      </c>
      <c r="CF13" s="1">
        <v>0</v>
      </c>
      <c r="CG13" s="1">
        <v>19256</v>
      </c>
      <c r="CH13" s="1">
        <v>2247</v>
      </c>
      <c r="CI13" s="1">
        <v>0</v>
      </c>
      <c r="CJ13" s="1">
        <v>20617.03</v>
      </c>
      <c r="CK13" s="1">
        <v>0</v>
      </c>
      <c r="CL13" s="1">
        <v>0</v>
      </c>
    </row>
    <row r="14" spans="1:90">
      <c r="A14" s="3">
        <v>46041</v>
      </c>
      <c r="B14" s="2">
        <v>1204</v>
      </c>
      <c r="C14" s="1">
        <v>412</v>
      </c>
      <c r="D14" s="1">
        <v>0</v>
      </c>
      <c r="E14" s="2">
        <v>43328</v>
      </c>
      <c r="F14" s="1">
        <v>52816</v>
      </c>
      <c r="G14" s="2">
        <v>4146433</v>
      </c>
      <c r="H14" s="1">
        <v>938631</v>
      </c>
      <c r="I14" s="1">
        <v>0</v>
      </c>
      <c r="J14" s="1">
        <v>3862780</v>
      </c>
      <c r="K14" s="2">
        <v>283653</v>
      </c>
      <c r="L14" s="1">
        <v>12271687.130000001</v>
      </c>
      <c r="M14" s="1">
        <v>31419582.68</v>
      </c>
      <c r="N14" s="1">
        <v>1022269.31</v>
      </c>
      <c r="O14" s="2">
        <v>611</v>
      </c>
      <c r="P14" s="1">
        <v>6429</v>
      </c>
      <c r="Q14" s="1">
        <v>1546</v>
      </c>
      <c r="R14" s="1">
        <v>0</v>
      </c>
      <c r="S14" s="1">
        <v>5891328</v>
      </c>
      <c r="T14" s="1">
        <v>5773517.4400000004</v>
      </c>
      <c r="U14" s="1">
        <v>117810.56</v>
      </c>
      <c r="V14" s="1">
        <v>5479431.2199999997</v>
      </c>
      <c r="W14" s="1">
        <v>411596.78</v>
      </c>
      <c r="X14" s="1">
        <v>24489128.890000001</v>
      </c>
      <c r="Y14" s="1">
        <v>24525693.620000001</v>
      </c>
      <c r="Z14" s="1">
        <v>1002561.18</v>
      </c>
      <c r="AA14" s="1">
        <v>36214</v>
      </c>
      <c r="AB14" s="1">
        <v>17538</v>
      </c>
      <c r="AC14" s="1">
        <v>9228</v>
      </c>
      <c r="AD14" s="1">
        <v>99.79</v>
      </c>
      <c r="AE14" s="1">
        <v>19914</v>
      </c>
      <c r="AF14" s="1">
        <v>16873.54</v>
      </c>
      <c r="AG14" s="1">
        <v>46135.01</v>
      </c>
      <c r="AH14" s="1">
        <v>17915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53623</v>
      </c>
      <c r="AP14" s="1">
        <v>6248</v>
      </c>
      <c r="AQ14" s="1">
        <v>15298</v>
      </c>
      <c r="AR14" s="1">
        <v>140646</v>
      </c>
      <c r="AS14" s="1">
        <v>13320</v>
      </c>
      <c r="AU14" s="1">
        <v>61320</v>
      </c>
      <c r="AV14" s="1">
        <v>29228</v>
      </c>
      <c r="AW14" s="1">
        <v>0</v>
      </c>
      <c r="AX14" s="1">
        <v>0</v>
      </c>
      <c r="AY14" s="1">
        <v>0</v>
      </c>
      <c r="AZ14" s="1">
        <v>25102</v>
      </c>
      <c r="BA14" s="1">
        <v>16</v>
      </c>
      <c r="BB14" s="1">
        <v>81500</v>
      </c>
      <c r="BC14" s="1">
        <v>0</v>
      </c>
      <c r="BD14" s="1">
        <v>0</v>
      </c>
      <c r="BE14" s="1">
        <v>194142</v>
      </c>
      <c r="BF14" s="1">
        <v>63102.46</v>
      </c>
      <c r="BG14" s="1">
        <v>0</v>
      </c>
      <c r="BH14" s="1">
        <v>17152</v>
      </c>
      <c r="BI14" s="1">
        <v>50589</v>
      </c>
      <c r="BJ14" s="1">
        <v>1092</v>
      </c>
      <c r="BK14" s="1">
        <v>0</v>
      </c>
      <c r="BL14" s="1">
        <v>0</v>
      </c>
      <c r="BM14" s="1">
        <v>5370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24454</v>
      </c>
      <c r="CA14" s="1">
        <v>0</v>
      </c>
      <c r="CB14" s="1">
        <v>0</v>
      </c>
      <c r="CC14" s="1">
        <v>0</v>
      </c>
      <c r="CE14" s="1">
        <v>0</v>
      </c>
      <c r="CF14" s="1">
        <v>0</v>
      </c>
      <c r="CG14" s="1">
        <v>19160</v>
      </c>
      <c r="CH14" s="1">
        <v>3336</v>
      </c>
      <c r="CI14" s="1">
        <v>0</v>
      </c>
      <c r="CJ14" s="1">
        <v>21244.58</v>
      </c>
      <c r="CK14" s="1">
        <v>0</v>
      </c>
      <c r="CL14" s="1">
        <v>0</v>
      </c>
    </row>
    <row r="15" spans="1:90">
      <c r="A15" s="3">
        <v>46040</v>
      </c>
      <c r="B15" s="2">
        <v>1164</v>
      </c>
      <c r="C15" s="1">
        <v>443</v>
      </c>
      <c r="D15" s="1">
        <v>0</v>
      </c>
      <c r="E15" s="2">
        <v>38540</v>
      </c>
      <c r="F15" s="1">
        <v>47917</v>
      </c>
      <c r="G15" s="2">
        <v>4108651</v>
      </c>
      <c r="H15" s="1">
        <v>962333</v>
      </c>
      <c r="I15" s="1">
        <v>0</v>
      </c>
      <c r="J15" s="1">
        <v>3788264</v>
      </c>
      <c r="K15" s="2">
        <v>320387</v>
      </c>
      <c r="L15" s="1">
        <v>12224654.279999999</v>
      </c>
      <c r="M15" s="1">
        <v>31568435.93</v>
      </c>
      <c r="N15" s="1">
        <v>930157.68</v>
      </c>
      <c r="O15" s="2">
        <v>673</v>
      </c>
      <c r="P15" s="1">
        <v>5641</v>
      </c>
      <c r="Q15" s="1">
        <v>1429</v>
      </c>
      <c r="R15" s="1">
        <v>0</v>
      </c>
      <c r="S15" s="1">
        <v>6700027</v>
      </c>
      <c r="T15" s="1">
        <v>6566048.46</v>
      </c>
      <c r="U15" s="1">
        <v>133978.54</v>
      </c>
      <c r="V15" s="1">
        <v>6283762.4000000004</v>
      </c>
      <c r="W15" s="1">
        <v>416214.6</v>
      </c>
      <c r="X15" s="1">
        <v>23725531.68</v>
      </c>
      <c r="Y15" s="1">
        <v>23981251.649999999</v>
      </c>
      <c r="Z15" s="1">
        <v>887157.39</v>
      </c>
      <c r="AA15" s="1">
        <v>40566</v>
      </c>
      <c r="AB15" s="1">
        <v>14642</v>
      </c>
      <c r="AC15" s="1">
        <v>8476</v>
      </c>
      <c r="AD15" s="1">
        <v>95.28</v>
      </c>
      <c r="AE15" s="1">
        <v>19230</v>
      </c>
      <c r="AF15" s="1">
        <v>18336.060000000001</v>
      </c>
      <c r="AG15" s="1">
        <v>43717.07</v>
      </c>
      <c r="AH15" s="1">
        <v>16312</v>
      </c>
      <c r="AI15" s="1">
        <v>0</v>
      </c>
      <c r="AJ15" s="1">
        <v>5000</v>
      </c>
      <c r="AK15" s="1">
        <v>0</v>
      </c>
      <c r="AL15" s="1">
        <v>0</v>
      </c>
      <c r="AM15" s="1">
        <v>0</v>
      </c>
      <c r="AN15" s="1">
        <v>0</v>
      </c>
      <c r="AO15" s="1">
        <v>88981</v>
      </c>
      <c r="AP15" s="1">
        <v>5578</v>
      </c>
      <c r="AQ15" s="1">
        <v>15602</v>
      </c>
      <c r="AR15" s="1">
        <v>23308</v>
      </c>
      <c r="AS15" s="1">
        <v>12450</v>
      </c>
      <c r="AU15" s="1">
        <v>61630</v>
      </c>
      <c r="AV15" s="1">
        <v>57204</v>
      </c>
      <c r="AW15" s="1">
        <v>0</v>
      </c>
      <c r="AX15" s="1">
        <v>0</v>
      </c>
      <c r="AY15" s="1">
        <v>0</v>
      </c>
      <c r="AZ15" s="1">
        <v>25202</v>
      </c>
      <c r="BA15" s="1">
        <v>0</v>
      </c>
      <c r="BB15" s="1">
        <v>98274</v>
      </c>
      <c r="BC15" s="1">
        <v>0</v>
      </c>
      <c r="BD15" s="1">
        <v>0</v>
      </c>
      <c r="BE15" s="1">
        <v>163741</v>
      </c>
      <c r="BF15" s="1">
        <v>88749.25</v>
      </c>
      <c r="BG15" s="1">
        <v>0</v>
      </c>
      <c r="BH15" s="1">
        <v>13904</v>
      </c>
      <c r="BI15" s="1">
        <v>49651</v>
      </c>
      <c r="BJ15" s="1">
        <v>1804</v>
      </c>
      <c r="BK15" s="1">
        <v>0</v>
      </c>
      <c r="BL15" s="1">
        <v>0</v>
      </c>
      <c r="BM15" s="1">
        <v>5030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22596</v>
      </c>
      <c r="CA15" s="1">
        <v>0</v>
      </c>
      <c r="CB15" s="1">
        <v>0</v>
      </c>
      <c r="CC15" s="1">
        <v>0</v>
      </c>
      <c r="CE15" s="1">
        <v>0</v>
      </c>
      <c r="CF15" s="1">
        <v>0</v>
      </c>
      <c r="CG15" s="1">
        <v>17017</v>
      </c>
      <c r="CH15" s="1">
        <v>1831</v>
      </c>
      <c r="CI15" s="1">
        <v>0</v>
      </c>
      <c r="CJ15" s="1">
        <v>19646.37</v>
      </c>
      <c r="CK15" s="1">
        <v>0</v>
      </c>
      <c r="CL15" s="1">
        <v>0</v>
      </c>
    </row>
    <row r="16" spans="1:90">
      <c r="A16" s="3">
        <v>46039</v>
      </c>
      <c r="B16" s="2">
        <v>966</v>
      </c>
      <c r="C16" s="1">
        <v>367</v>
      </c>
      <c r="D16" s="1">
        <v>0</v>
      </c>
      <c r="E16" s="2">
        <v>37776</v>
      </c>
      <c r="F16" s="1">
        <v>47838</v>
      </c>
      <c r="G16" s="2">
        <v>4179488</v>
      </c>
      <c r="H16" s="1">
        <v>973219</v>
      </c>
      <c r="I16" s="1">
        <v>0</v>
      </c>
      <c r="J16" s="1">
        <v>3735216</v>
      </c>
      <c r="K16" s="2">
        <v>444272</v>
      </c>
      <c r="L16" s="1">
        <v>12370302.630000001</v>
      </c>
      <c r="M16" s="1">
        <v>32629546.510000002</v>
      </c>
      <c r="N16" s="1">
        <v>881459.88</v>
      </c>
      <c r="O16" s="2">
        <v>542</v>
      </c>
      <c r="P16" s="1">
        <v>5642</v>
      </c>
      <c r="Q16" s="1">
        <v>1457</v>
      </c>
      <c r="R16" s="1">
        <v>0</v>
      </c>
      <c r="S16" s="1">
        <v>6385755</v>
      </c>
      <c r="T16" s="1">
        <v>6258082.9000000004</v>
      </c>
      <c r="U16" s="1">
        <v>127672.1</v>
      </c>
      <c r="V16" s="1">
        <v>5982808.0899999999</v>
      </c>
      <c r="W16" s="1">
        <v>403646.91</v>
      </c>
      <c r="X16" s="1">
        <v>25037229.91</v>
      </c>
      <c r="Y16" s="1">
        <v>24876053.100000001</v>
      </c>
      <c r="Z16" s="1">
        <v>1367738.53</v>
      </c>
      <c r="AA16" s="1">
        <v>35142</v>
      </c>
      <c r="AB16" s="1">
        <v>13660</v>
      </c>
      <c r="AC16" s="1">
        <v>8060</v>
      </c>
      <c r="AD16" s="1">
        <v>31.95</v>
      </c>
      <c r="AE16" s="1">
        <v>18960</v>
      </c>
      <c r="AF16" s="1">
        <v>18934.55</v>
      </c>
      <c r="AG16" s="1">
        <v>45825.73</v>
      </c>
      <c r="AH16" s="1">
        <v>16300</v>
      </c>
      <c r="AI16" s="1">
        <v>0</v>
      </c>
      <c r="AJ16" s="1">
        <v>5000</v>
      </c>
      <c r="AK16" s="1">
        <v>0</v>
      </c>
      <c r="AL16" s="1">
        <v>0</v>
      </c>
      <c r="AM16" s="1">
        <v>366.16</v>
      </c>
      <c r="AN16" s="1">
        <v>0</v>
      </c>
      <c r="AO16" s="1">
        <v>61874</v>
      </c>
      <c r="AP16" s="1">
        <v>5890</v>
      </c>
      <c r="AQ16" s="1">
        <v>15458</v>
      </c>
      <c r="AR16" s="1">
        <v>24916</v>
      </c>
      <c r="AS16" s="1">
        <v>13230</v>
      </c>
      <c r="AU16" s="1">
        <v>52410</v>
      </c>
      <c r="AV16" s="1">
        <v>31469</v>
      </c>
      <c r="AW16" s="1">
        <v>0</v>
      </c>
      <c r="AX16" s="1">
        <v>0</v>
      </c>
      <c r="AY16" s="1">
        <v>0</v>
      </c>
      <c r="AZ16" s="1">
        <v>25372</v>
      </c>
      <c r="BA16" s="1">
        <v>16</v>
      </c>
      <c r="BB16" s="1">
        <v>97000</v>
      </c>
      <c r="BC16" s="1">
        <v>0</v>
      </c>
      <c r="BD16" s="1">
        <v>0</v>
      </c>
      <c r="BE16" s="1">
        <v>166510</v>
      </c>
      <c r="BF16" s="1">
        <v>81410.37</v>
      </c>
      <c r="BG16" s="1">
        <v>0</v>
      </c>
      <c r="BH16" s="1">
        <v>14528</v>
      </c>
      <c r="BI16" s="1">
        <v>48476</v>
      </c>
      <c r="BJ16" s="1">
        <v>1832</v>
      </c>
      <c r="BK16" s="1">
        <v>0</v>
      </c>
      <c r="BL16" s="1">
        <v>0</v>
      </c>
      <c r="BM16" s="1">
        <v>4594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17964</v>
      </c>
      <c r="CA16" s="1">
        <v>0</v>
      </c>
      <c r="CB16" s="1">
        <v>0</v>
      </c>
      <c r="CC16" s="1">
        <v>0</v>
      </c>
      <c r="CE16" s="1">
        <v>0</v>
      </c>
      <c r="CF16" s="1">
        <v>0</v>
      </c>
      <c r="CG16" s="1">
        <v>11405</v>
      </c>
      <c r="CH16" s="1">
        <v>1981</v>
      </c>
      <c r="CI16" s="1">
        <v>0</v>
      </c>
      <c r="CJ16" s="1">
        <v>19569.91</v>
      </c>
      <c r="CK16" s="1">
        <v>0</v>
      </c>
      <c r="CL16" s="1">
        <v>0</v>
      </c>
    </row>
    <row r="17" spans="1:90">
      <c r="A17" s="3">
        <v>46038</v>
      </c>
      <c r="B17" s="2">
        <v>933</v>
      </c>
      <c r="C17" s="1">
        <v>415</v>
      </c>
      <c r="D17" s="1">
        <v>0</v>
      </c>
      <c r="E17" s="2">
        <v>38183</v>
      </c>
      <c r="F17" s="1">
        <v>48902</v>
      </c>
      <c r="G17" s="2">
        <v>4216277</v>
      </c>
      <c r="H17" s="1">
        <v>981275</v>
      </c>
      <c r="I17" s="1">
        <v>0</v>
      </c>
      <c r="J17" s="1">
        <v>3799013</v>
      </c>
      <c r="K17" s="2">
        <v>417264</v>
      </c>
      <c r="L17" s="1">
        <v>12363950.24</v>
      </c>
      <c r="M17" s="1">
        <v>33253008.32</v>
      </c>
      <c r="N17" s="1">
        <v>946270.7</v>
      </c>
      <c r="O17" s="2">
        <v>571</v>
      </c>
      <c r="P17" s="1">
        <v>5745</v>
      </c>
      <c r="Q17" s="1">
        <v>1499</v>
      </c>
      <c r="R17" s="1">
        <v>0</v>
      </c>
      <c r="S17" s="1">
        <v>7155063</v>
      </c>
      <c r="T17" s="1">
        <v>7011987.7400000002</v>
      </c>
      <c r="U17" s="1">
        <v>143075.26</v>
      </c>
      <c r="V17" s="1">
        <v>6671648.8200000003</v>
      </c>
      <c r="W17" s="1">
        <v>483314.18</v>
      </c>
      <c r="X17" s="1">
        <v>25270362.760000002</v>
      </c>
      <c r="Y17" s="1">
        <v>25053462.760000002</v>
      </c>
      <c r="Z17" s="1">
        <v>1044482.78</v>
      </c>
      <c r="AA17" s="1">
        <v>34174</v>
      </c>
      <c r="AB17" s="1">
        <v>17136</v>
      </c>
      <c r="AC17" s="1">
        <v>8510</v>
      </c>
      <c r="AD17" s="1">
        <v>24.62</v>
      </c>
      <c r="AE17" s="1">
        <v>19374</v>
      </c>
      <c r="AF17" s="1">
        <v>21084.89</v>
      </c>
      <c r="AG17" s="1">
        <v>50777.26</v>
      </c>
      <c r="AH17" s="1">
        <v>18705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66123</v>
      </c>
      <c r="AP17" s="1">
        <v>4772</v>
      </c>
      <c r="AQ17" s="1">
        <v>15417</v>
      </c>
      <c r="AR17" s="1">
        <v>29826</v>
      </c>
      <c r="AS17" s="1">
        <v>16420</v>
      </c>
      <c r="AU17" s="1">
        <v>60030</v>
      </c>
      <c r="AV17" s="1">
        <v>35199</v>
      </c>
      <c r="AW17" s="1">
        <v>0</v>
      </c>
      <c r="AX17" s="1">
        <v>0</v>
      </c>
      <c r="AY17" s="1">
        <v>0</v>
      </c>
      <c r="AZ17" s="1">
        <v>25406</v>
      </c>
      <c r="BA17" s="1">
        <v>0</v>
      </c>
      <c r="BB17" s="1">
        <v>90000</v>
      </c>
      <c r="BC17" s="1">
        <v>0</v>
      </c>
      <c r="BD17" s="1">
        <v>0</v>
      </c>
      <c r="BE17" s="1">
        <v>198468</v>
      </c>
      <c r="BF17" s="1">
        <v>83978.84</v>
      </c>
      <c r="BG17" s="1">
        <v>0</v>
      </c>
      <c r="BH17" s="1">
        <v>13968</v>
      </c>
      <c r="BI17" s="1">
        <v>53179</v>
      </c>
      <c r="BJ17" s="1">
        <v>2734</v>
      </c>
      <c r="BK17" s="1">
        <v>0</v>
      </c>
      <c r="BL17" s="1">
        <v>0</v>
      </c>
      <c r="BM17" s="1">
        <v>4404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19308</v>
      </c>
      <c r="CA17" s="1">
        <v>0</v>
      </c>
      <c r="CB17" s="1">
        <v>0</v>
      </c>
      <c r="CC17" s="1">
        <v>0</v>
      </c>
      <c r="CE17" s="1">
        <v>0</v>
      </c>
      <c r="CF17" s="1">
        <v>0</v>
      </c>
      <c r="CG17" s="1">
        <v>10713</v>
      </c>
      <c r="CH17" s="1">
        <v>2077</v>
      </c>
      <c r="CI17" s="1">
        <v>0</v>
      </c>
      <c r="CJ17" s="1">
        <v>20661.03</v>
      </c>
      <c r="CK17" s="1">
        <v>0</v>
      </c>
      <c r="CL17" s="1">
        <v>0</v>
      </c>
    </row>
    <row r="18" spans="1:90">
      <c r="A18" s="3">
        <v>46037</v>
      </c>
      <c r="B18" s="2">
        <v>1064</v>
      </c>
      <c r="C18" s="1">
        <v>362</v>
      </c>
      <c r="D18" s="1">
        <v>0</v>
      </c>
      <c r="E18" s="2">
        <v>43628</v>
      </c>
      <c r="F18" s="1">
        <v>54423</v>
      </c>
      <c r="G18" s="2">
        <v>4841980</v>
      </c>
      <c r="H18" s="1">
        <v>1130166</v>
      </c>
      <c r="I18" s="1">
        <v>0</v>
      </c>
      <c r="J18" s="1">
        <v>4737121</v>
      </c>
      <c r="K18" s="2">
        <v>104859</v>
      </c>
      <c r="L18" s="1">
        <v>12256872.58</v>
      </c>
      <c r="M18" s="1">
        <v>38683060.350000001</v>
      </c>
      <c r="N18" s="1">
        <v>1458679.31</v>
      </c>
      <c r="O18" s="2">
        <v>586</v>
      </c>
      <c r="P18" s="1">
        <v>7822</v>
      </c>
      <c r="Q18" s="1">
        <v>1935</v>
      </c>
      <c r="R18" s="1">
        <v>0</v>
      </c>
      <c r="S18" s="1">
        <v>7431993</v>
      </c>
      <c r="T18" s="1">
        <v>7283394.1399999997</v>
      </c>
      <c r="U18" s="1">
        <v>148598.85999999999</v>
      </c>
      <c r="V18" s="1">
        <v>6953790.8499999996</v>
      </c>
      <c r="W18" s="1">
        <v>478852.15</v>
      </c>
      <c r="X18" s="1">
        <v>30235131</v>
      </c>
      <c r="Y18" s="1">
        <v>30346911.239999998</v>
      </c>
      <c r="Z18" s="1">
        <v>904156.28</v>
      </c>
      <c r="AA18" s="1">
        <v>34920</v>
      </c>
      <c r="AB18" s="1">
        <v>15400</v>
      </c>
      <c r="AC18" s="1">
        <v>11320</v>
      </c>
      <c r="AD18" s="1">
        <v>222.98</v>
      </c>
      <c r="AE18" s="1">
        <v>19914</v>
      </c>
      <c r="AF18" s="1">
        <v>17329.240000000002</v>
      </c>
      <c r="AG18" s="1">
        <v>43456.45</v>
      </c>
      <c r="AH18" s="1">
        <v>17825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51906</v>
      </c>
      <c r="AP18" s="1">
        <v>5770</v>
      </c>
      <c r="AQ18" s="1">
        <v>17010</v>
      </c>
      <c r="AR18" s="1">
        <v>46702</v>
      </c>
      <c r="AS18" s="1">
        <v>20420</v>
      </c>
      <c r="AU18" s="1">
        <v>55420</v>
      </c>
      <c r="AV18" s="1">
        <v>34039</v>
      </c>
      <c r="AW18" s="1">
        <v>0</v>
      </c>
      <c r="AX18" s="1">
        <v>0</v>
      </c>
      <c r="AY18" s="1">
        <v>0</v>
      </c>
      <c r="AZ18" s="1">
        <v>30910</v>
      </c>
      <c r="BA18" s="1">
        <v>323372</v>
      </c>
      <c r="BB18" s="1">
        <v>86048</v>
      </c>
      <c r="BC18" s="1">
        <v>0</v>
      </c>
      <c r="BD18" s="1">
        <v>0</v>
      </c>
      <c r="BE18" s="1">
        <v>344267</v>
      </c>
      <c r="BF18" s="1">
        <v>77275.100000000006</v>
      </c>
      <c r="BG18" s="1">
        <v>0</v>
      </c>
      <c r="BH18" s="1">
        <v>16496</v>
      </c>
      <c r="BI18" s="1">
        <v>57569</v>
      </c>
      <c r="BJ18" s="1">
        <v>2372</v>
      </c>
      <c r="BK18" s="1">
        <v>0</v>
      </c>
      <c r="BL18" s="1">
        <v>0</v>
      </c>
      <c r="BM18" s="1">
        <v>4074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27170</v>
      </c>
      <c r="CA18" s="1">
        <v>0</v>
      </c>
      <c r="CB18" s="1">
        <v>0</v>
      </c>
      <c r="CC18" s="1">
        <v>0</v>
      </c>
      <c r="CE18" s="1">
        <v>0</v>
      </c>
      <c r="CF18" s="1">
        <v>0</v>
      </c>
      <c r="CG18" s="1">
        <v>10868</v>
      </c>
      <c r="CH18" s="1">
        <v>1760</v>
      </c>
      <c r="CI18" s="1">
        <v>0</v>
      </c>
      <c r="CJ18" s="1">
        <v>23805.99</v>
      </c>
      <c r="CK18" s="1">
        <v>0</v>
      </c>
      <c r="CL18" s="1">
        <v>0</v>
      </c>
    </row>
    <row r="19" spans="1:90">
      <c r="A19" s="3">
        <v>46036</v>
      </c>
      <c r="B19" s="2">
        <v>1101</v>
      </c>
      <c r="C19" s="1">
        <v>386</v>
      </c>
      <c r="D19" s="1">
        <v>0</v>
      </c>
      <c r="E19" s="2">
        <v>39136</v>
      </c>
      <c r="F19" s="1">
        <v>49710</v>
      </c>
      <c r="G19" s="2">
        <v>4094068</v>
      </c>
      <c r="H19" s="1">
        <v>877467</v>
      </c>
      <c r="I19" s="1">
        <v>0</v>
      </c>
      <c r="J19" s="1">
        <v>4055247</v>
      </c>
      <c r="K19" s="2">
        <v>38821</v>
      </c>
      <c r="L19" s="1">
        <v>12122882.1</v>
      </c>
      <c r="M19" s="1">
        <v>31719476.600000001</v>
      </c>
      <c r="N19" s="1">
        <v>947204.05</v>
      </c>
      <c r="O19" s="2">
        <v>589</v>
      </c>
      <c r="P19" s="1">
        <v>5719</v>
      </c>
      <c r="Q19" s="1">
        <v>1398</v>
      </c>
      <c r="R19" s="1">
        <v>0</v>
      </c>
      <c r="S19" s="1">
        <v>5849839</v>
      </c>
      <c r="T19" s="1">
        <v>5732883.2199999997</v>
      </c>
      <c r="U19" s="1">
        <v>116955.78</v>
      </c>
      <c r="V19" s="1">
        <v>5493089.2300000004</v>
      </c>
      <c r="W19" s="1">
        <v>355649.77</v>
      </c>
      <c r="X19" s="1">
        <v>24801943.73</v>
      </c>
      <c r="Y19" s="1">
        <v>25197563.699999999</v>
      </c>
      <c r="Z19" s="1">
        <v>672074</v>
      </c>
      <c r="AA19" s="1">
        <v>35674</v>
      </c>
      <c r="AB19" s="1">
        <v>14200</v>
      </c>
      <c r="AC19" s="1">
        <v>7516</v>
      </c>
      <c r="AD19" s="1">
        <v>90.97</v>
      </c>
      <c r="AE19" s="1">
        <v>15108</v>
      </c>
      <c r="AF19" s="1">
        <v>17892.13</v>
      </c>
      <c r="AG19" s="1">
        <v>44696.31</v>
      </c>
      <c r="AH19" s="1">
        <v>21700</v>
      </c>
      <c r="AI19" s="1">
        <v>0</v>
      </c>
      <c r="AJ19" s="1">
        <v>5000</v>
      </c>
      <c r="AK19" s="1">
        <v>0</v>
      </c>
      <c r="AL19" s="1">
        <v>0</v>
      </c>
      <c r="AM19" s="1">
        <v>5000.32</v>
      </c>
      <c r="AN19" s="1">
        <v>0</v>
      </c>
      <c r="AO19" s="1">
        <v>73220</v>
      </c>
      <c r="AP19" s="1">
        <v>4548</v>
      </c>
      <c r="AQ19" s="1">
        <v>15654</v>
      </c>
      <c r="AR19" s="1">
        <v>45060</v>
      </c>
      <c r="AS19" s="1">
        <v>19500</v>
      </c>
      <c r="AU19" s="1">
        <v>51220</v>
      </c>
      <c r="AV19" s="1">
        <v>28056</v>
      </c>
      <c r="AW19" s="1">
        <v>0</v>
      </c>
      <c r="AX19" s="1">
        <v>0</v>
      </c>
      <c r="AY19" s="1">
        <v>0</v>
      </c>
      <c r="AZ19" s="1">
        <v>25444</v>
      </c>
      <c r="BA19" s="1">
        <v>48</v>
      </c>
      <c r="BB19" s="1">
        <v>76086</v>
      </c>
      <c r="BC19" s="1">
        <v>0</v>
      </c>
      <c r="BD19" s="1">
        <v>0</v>
      </c>
      <c r="BE19" s="1">
        <v>228656</v>
      </c>
      <c r="BF19" s="1">
        <v>78695.289999999994</v>
      </c>
      <c r="BG19" s="1">
        <v>0</v>
      </c>
      <c r="BH19" s="1">
        <v>15440</v>
      </c>
      <c r="BI19" s="1">
        <v>48448</v>
      </c>
      <c r="BJ19" s="1">
        <v>1930</v>
      </c>
      <c r="BK19" s="1">
        <v>0</v>
      </c>
      <c r="BL19" s="1">
        <v>0</v>
      </c>
      <c r="BM19" s="1">
        <v>3768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16996</v>
      </c>
      <c r="CA19" s="1">
        <v>0</v>
      </c>
      <c r="CB19" s="1">
        <v>0</v>
      </c>
      <c r="CC19" s="1">
        <v>0</v>
      </c>
      <c r="CE19" s="1">
        <v>0</v>
      </c>
      <c r="CF19" s="1">
        <v>0</v>
      </c>
      <c r="CG19" s="1">
        <v>9519</v>
      </c>
      <c r="CH19" s="1">
        <v>1326</v>
      </c>
      <c r="CI19" s="1">
        <v>0</v>
      </c>
      <c r="CJ19" s="1">
        <v>21677.75</v>
      </c>
      <c r="CK19" s="1">
        <v>0</v>
      </c>
      <c r="CL19" s="1">
        <v>0</v>
      </c>
    </row>
    <row r="20" spans="1:90">
      <c r="A20" s="3">
        <v>46035</v>
      </c>
      <c r="B20" s="2">
        <v>969</v>
      </c>
      <c r="C20" s="1">
        <v>358</v>
      </c>
      <c r="D20" s="1">
        <v>0</v>
      </c>
      <c r="E20" s="2">
        <v>39150</v>
      </c>
      <c r="F20" s="1">
        <v>49364</v>
      </c>
      <c r="G20" s="2">
        <v>4304356</v>
      </c>
      <c r="H20" s="1">
        <v>946675</v>
      </c>
      <c r="I20" s="1">
        <v>0</v>
      </c>
      <c r="J20" s="1">
        <v>3783110</v>
      </c>
      <c r="K20" s="2">
        <v>521246</v>
      </c>
      <c r="L20" s="1">
        <v>12126148.800000001</v>
      </c>
      <c r="M20" s="1">
        <v>32248399.73</v>
      </c>
      <c r="N20" s="1">
        <v>915344.59</v>
      </c>
      <c r="O20" s="2">
        <v>573</v>
      </c>
      <c r="P20" s="1">
        <v>6221</v>
      </c>
      <c r="Q20" s="1">
        <v>1518</v>
      </c>
      <c r="R20" s="1">
        <v>0</v>
      </c>
      <c r="S20" s="1">
        <v>6256643</v>
      </c>
      <c r="T20" s="1">
        <v>6131535.1399999997</v>
      </c>
      <c r="U20" s="1">
        <v>125107.86</v>
      </c>
      <c r="V20" s="1">
        <v>5840930.3099999996</v>
      </c>
      <c r="W20" s="1">
        <v>416762.69</v>
      </c>
      <c r="X20" s="1">
        <v>24972122.809999999</v>
      </c>
      <c r="Y20" s="1">
        <v>25049091.539999999</v>
      </c>
      <c r="Z20" s="1">
        <v>942665.37</v>
      </c>
      <c r="AA20" s="1">
        <v>30406</v>
      </c>
      <c r="AB20" s="1">
        <v>15720</v>
      </c>
      <c r="AC20" s="1">
        <v>8728</v>
      </c>
      <c r="AD20" s="1">
        <v>88.33</v>
      </c>
      <c r="AE20" s="1">
        <v>16746</v>
      </c>
      <c r="AF20" s="1">
        <v>17276.2</v>
      </c>
      <c r="AG20" s="1">
        <v>44251.33</v>
      </c>
      <c r="AH20" s="1">
        <v>17000</v>
      </c>
      <c r="AI20" s="1">
        <v>0</v>
      </c>
      <c r="AJ20" s="1">
        <v>10000</v>
      </c>
      <c r="AK20" s="1">
        <v>0</v>
      </c>
      <c r="AL20" s="1">
        <v>0</v>
      </c>
      <c r="AM20" s="1">
        <v>0</v>
      </c>
      <c r="AN20" s="1">
        <v>0</v>
      </c>
      <c r="AO20" s="1">
        <v>177200</v>
      </c>
      <c r="AP20" s="1">
        <v>4916</v>
      </c>
      <c r="AQ20" s="1">
        <v>15296</v>
      </c>
      <c r="AR20" s="1">
        <v>67196</v>
      </c>
      <c r="AS20" s="1">
        <v>23240</v>
      </c>
      <c r="AU20" s="1">
        <v>51880</v>
      </c>
      <c r="AV20" s="1">
        <v>31846</v>
      </c>
      <c r="AW20" s="1">
        <v>0</v>
      </c>
      <c r="AX20" s="1">
        <v>0</v>
      </c>
      <c r="AY20" s="1">
        <v>0</v>
      </c>
      <c r="AZ20" s="1">
        <v>25226</v>
      </c>
      <c r="BA20" s="1">
        <v>0</v>
      </c>
      <c r="BB20" s="1">
        <v>79000</v>
      </c>
      <c r="BC20" s="1">
        <v>0</v>
      </c>
      <c r="BD20" s="1">
        <v>0</v>
      </c>
      <c r="BE20" s="1">
        <v>185627</v>
      </c>
      <c r="BF20" s="1">
        <v>68780.77</v>
      </c>
      <c r="BG20" s="1">
        <v>0</v>
      </c>
      <c r="BH20" s="1">
        <v>15008</v>
      </c>
      <c r="BI20" s="1">
        <v>50330</v>
      </c>
      <c r="BJ20" s="1">
        <v>1464</v>
      </c>
      <c r="BK20" s="1">
        <v>0</v>
      </c>
      <c r="BL20" s="1">
        <v>0</v>
      </c>
      <c r="BM20" s="1">
        <v>3702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20826</v>
      </c>
      <c r="CA20" s="1">
        <v>0</v>
      </c>
      <c r="CB20" s="1">
        <v>0</v>
      </c>
      <c r="CC20" s="1">
        <v>0</v>
      </c>
      <c r="CE20" s="1">
        <v>0</v>
      </c>
      <c r="CF20" s="1">
        <v>0</v>
      </c>
      <c r="CG20" s="1">
        <v>4256</v>
      </c>
      <c r="CH20" s="1">
        <v>884</v>
      </c>
      <c r="CI20" s="1">
        <v>0</v>
      </c>
      <c r="CJ20" s="1">
        <v>21961.93</v>
      </c>
      <c r="CK20" s="1">
        <v>0</v>
      </c>
      <c r="CL20" s="1">
        <v>0</v>
      </c>
    </row>
    <row r="21" spans="1:90">
      <c r="A21" s="3">
        <v>46034</v>
      </c>
      <c r="B21" s="2">
        <v>1049</v>
      </c>
      <c r="C21" s="1">
        <v>347</v>
      </c>
      <c r="D21" s="1">
        <v>0</v>
      </c>
      <c r="E21" s="2">
        <v>39292</v>
      </c>
      <c r="F21" s="1">
        <v>49858</v>
      </c>
      <c r="G21" s="2">
        <v>3984585</v>
      </c>
      <c r="H21" s="1">
        <v>893095</v>
      </c>
      <c r="I21" s="1">
        <v>0</v>
      </c>
      <c r="J21" s="1">
        <v>3872161</v>
      </c>
      <c r="K21" s="2">
        <v>112424</v>
      </c>
      <c r="L21" s="1">
        <v>12128109</v>
      </c>
      <c r="M21" s="1">
        <v>31917812.440000001</v>
      </c>
      <c r="N21" s="1">
        <v>975569.97</v>
      </c>
      <c r="O21" s="2">
        <v>575</v>
      </c>
      <c r="P21" s="1">
        <v>6743</v>
      </c>
      <c r="Q21" s="1">
        <v>1647</v>
      </c>
      <c r="R21" s="1">
        <v>0</v>
      </c>
      <c r="S21" s="1">
        <v>6668537</v>
      </c>
      <c r="T21" s="1">
        <v>6535226.2599999998</v>
      </c>
      <c r="U21" s="1">
        <v>133310.74</v>
      </c>
      <c r="V21" s="1">
        <v>6264403.5999999996</v>
      </c>
      <c r="W21" s="1">
        <v>402933.4</v>
      </c>
      <c r="X21" s="1">
        <v>23908666.27</v>
      </c>
      <c r="Y21" s="1">
        <v>24372293.140000001</v>
      </c>
      <c r="Z21" s="1">
        <v>876982.59</v>
      </c>
      <c r="AA21" s="1">
        <v>30758</v>
      </c>
      <c r="AB21" s="1">
        <v>14284</v>
      </c>
      <c r="AC21" s="1">
        <v>8170</v>
      </c>
      <c r="AD21" s="1">
        <v>104.22</v>
      </c>
      <c r="AE21" s="1">
        <v>15786</v>
      </c>
      <c r="AF21" s="1">
        <v>15927.66</v>
      </c>
      <c r="AG21" s="1">
        <v>43320.04</v>
      </c>
      <c r="AH21" s="1">
        <v>17451</v>
      </c>
      <c r="AI21" s="1">
        <v>0</v>
      </c>
      <c r="AJ21" s="1">
        <v>5000</v>
      </c>
      <c r="AK21" s="1">
        <v>0</v>
      </c>
      <c r="AL21" s="1">
        <v>0</v>
      </c>
      <c r="AM21" s="1">
        <v>0</v>
      </c>
      <c r="AN21" s="1">
        <v>0</v>
      </c>
      <c r="AO21" s="1">
        <v>216616</v>
      </c>
      <c r="AP21" s="1">
        <v>4158</v>
      </c>
      <c r="AQ21" s="1">
        <v>14650</v>
      </c>
      <c r="AR21" s="1">
        <v>148668</v>
      </c>
      <c r="AS21" s="1">
        <v>22540</v>
      </c>
      <c r="AU21" s="1">
        <v>57340</v>
      </c>
      <c r="AV21" s="1">
        <v>30246</v>
      </c>
      <c r="AW21" s="1">
        <v>0</v>
      </c>
      <c r="AX21" s="1">
        <v>0</v>
      </c>
      <c r="AY21" s="1">
        <v>0</v>
      </c>
      <c r="AZ21" s="1">
        <v>26532</v>
      </c>
      <c r="BA21" s="1">
        <v>0</v>
      </c>
      <c r="BB21" s="1">
        <v>75500</v>
      </c>
      <c r="BC21" s="1">
        <v>0</v>
      </c>
      <c r="BD21" s="1">
        <v>0</v>
      </c>
      <c r="BE21" s="1">
        <v>188378</v>
      </c>
      <c r="BF21" s="1">
        <v>68830.850000000006</v>
      </c>
      <c r="BG21" s="1">
        <v>0</v>
      </c>
      <c r="BH21" s="1">
        <v>14880</v>
      </c>
      <c r="BI21" s="1">
        <v>51257</v>
      </c>
      <c r="BJ21" s="1">
        <v>1522</v>
      </c>
      <c r="BK21" s="1">
        <v>0</v>
      </c>
      <c r="BL21" s="1">
        <v>0</v>
      </c>
      <c r="BM21" s="1">
        <v>3936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18988</v>
      </c>
      <c r="CA21" s="1">
        <v>0</v>
      </c>
      <c r="CB21" s="1">
        <v>0</v>
      </c>
      <c r="CC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22486.48</v>
      </c>
      <c r="CK21" s="1">
        <v>0</v>
      </c>
      <c r="CL21" s="1">
        <v>0</v>
      </c>
    </row>
    <row r="22" spans="1:90">
      <c r="A22" s="3">
        <v>46033</v>
      </c>
      <c r="B22" s="2">
        <v>1010</v>
      </c>
      <c r="C22" s="1">
        <v>386</v>
      </c>
      <c r="D22" s="1">
        <v>0</v>
      </c>
      <c r="E22" s="2">
        <v>38358</v>
      </c>
      <c r="F22" s="1">
        <v>49273</v>
      </c>
      <c r="G22" s="2">
        <v>4061981</v>
      </c>
      <c r="H22" s="1">
        <v>840905</v>
      </c>
      <c r="I22" s="1">
        <v>0</v>
      </c>
      <c r="J22" s="1">
        <v>3706669</v>
      </c>
      <c r="K22" s="2">
        <v>355312</v>
      </c>
      <c r="L22" s="1">
        <v>12028690.84</v>
      </c>
      <c r="M22" s="1">
        <v>30672808.899999999</v>
      </c>
      <c r="N22" s="1">
        <v>928939.75</v>
      </c>
      <c r="O22" s="2">
        <v>567</v>
      </c>
      <c r="P22" s="1">
        <v>6079</v>
      </c>
      <c r="Q22" s="1">
        <v>1535</v>
      </c>
      <c r="R22" s="1">
        <v>0</v>
      </c>
      <c r="S22" s="1">
        <v>6199334</v>
      </c>
      <c r="T22" s="1">
        <v>6075378.3200000003</v>
      </c>
      <c r="U22" s="1">
        <v>123955.68</v>
      </c>
      <c r="V22" s="1">
        <v>5821630.5300000003</v>
      </c>
      <c r="W22" s="1">
        <v>380703.47</v>
      </c>
      <c r="X22" s="1">
        <v>23561530.870000001</v>
      </c>
      <c r="Y22" s="1">
        <v>23652808.23</v>
      </c>
      <c r="Z22" s="1">
        <v>820666.82</v>
      </c>
      <c r="AA22" s="1">
        <v>34562</v>
      </c>
      <c r="AB22" s="1">
        <v>14146</v>
      </c>
      <c r="AC22" s="1">
        <v>7356</v>
      </c>
      <c r="AD22" s="1">
        <v>15.83</v>
      </c>
      <c r="AE22" s="1">
        <v>15342</v>
      </c>
      <c r="AF22" s="1">
        <v>16795.54</v>
      </c>
      <c r="AG22" s="1">
        <v>43008.3</v>
      </c>
      <c r="AH22" s="1">
        <v>15000</v>
      </c>
      <c r="AI22" s="1">
        <v>0</v>
      </c>
      <c r="AJ22" s="1">
        <v>0</v>
      </c>
      <c r="AK22" s="1">
        <v>0</v>
      </c>
      <c r="AL22" s="1">
        <v>0</v>
      </c>
      <c r="AM22" s="1">
        <v>58</v>
      </c>
      <c r="AN22" s="1">
        <v>0</v>
      </c>
      <c r="AO22" s="1">
        <v>109954</v>
      </c>
      <c r="AP22" s="1">
        <v>4916</v>
      </c>
      <c r="AQ22" s="1">
        <v>14443</v>
      </c>
      <c r="AR22" s="1">
        <v>25020</v>
      </c>
      <c r="AS22" s="1">
        <v>26580</v>
      </c>
      <c r="AU22" s="1">
        <v>50340</v>
      </c>
      <c r="AV22" s="1">
        <v>50393</v>
      </c>
      <c r="AW22" s="1">
        <v>0</v>
      </c>
      <c r="AX22" s="1">
        <v>0</v>
      </c>
      <c r="AY22" s="1">
        <v>0</v>
      </c>
      <c r="AZ22" s="1">
        <v>25660</v>
      </c>
      <c r="BA22" s="1">
        <v>32</v>
      </c>
      <c r="BB22" s="1">
        <v>87274</v>
      </c>
      <c r="BC22" s="1">
        <v>0</v>
      </c>
      <c r="BD22" s="1">
        <v>0</v>
      </c>
      <c r="BE22" s="1">
        <v>215832</v>
      </c>
      <c r="BF22" s="1">
        <v>71522.37</v>
      </c>
      <c r="BG22" s="1">
        <v>0</v>
      </c>
      <c r="BH22" s="1">
        <v>18080</v>
      </c>
      <c r="BI22" s="1">
        <v>50544</v>
      </c>
      <c r="BJ22" s="1">
        <v>1816</v>
      </c>
      <c r="BK22" s="1">
        <v>0</v>
      </c>
      <c r="BL22" s="1">
        <v>0</v>
      </c>
      <c r="BM22" s="1">
        <v>3972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19710</v>
      </c>
      <c r="CA22" s="1">
        <v>0</v>
      </c>
      <c r="CB22" s="1">
        <v>0</v>
      </c>
      <c r="CC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29825.43</v>
      </c>
      <c r="CK22" s="1">
        <v>0</v>
      </c>
      <c r="CL22" s="1">
        <v>0</v>
      </c>
    </row>
    <row r="23" spans="1:90">
      <c r="A23" s="3">
        <v>46032</v>
      </c>
      <c r="B23" s="2">
        <v>1025</v>
      </c>
      <c r="C23" s="1">
        <v>389</v>
      </c>
      <c r="D23" s="1">
        <v>0</v>
      </c>
      <c r="E23" s="2">
        <v>36706</v>
      </c>
      <c r="F23" s="1">
        <v>47719</v>
      </c>
      <c r="G23" s="2">
        <v>3731632</v>
      </c>
      <c r="H23" s="1">
        <v>853071</v>
      </c>
      <c r="I23" s="1">
        <v>0</v>
      </c>
      <c r="J23" s="1">
        <v>3204478</v>
      </c>
      <c r="K23" s="2">
        <v>527154</v>
      </c>
      <c r="L23" s="1">
        <v>11891751.130000001</v>
      </c>
      <c r="M23" s="1">
        <v>30975831.469999999</v>
      </c>
      <c r="N23" s="1">
        <v>812657.89</v>
      </c>
      <c r="O23" s="2">
        <v>540</v>
      </c>
      <c r="P23" s="1">
        <v>5954</v>
      </c>
      <c r="Q23" s="1">
        <v>1492</v>
      </c>
      <c r="R23" s="1">
        <v>0</v>
      </c>
      <c r="S23" s="1">
        <v>6115068</v>
      </c>
      <c r="T23" s="1">
        <v>5992865.6399999997</v>
      </c>
      <c r="U23" s="1">
        <v>122202.36</v>
      </c>
      <c r="V23" s="1">
        <v>5716531.0599999996</v>
      </c>
      <c r="W23" s="1">
        <v>395986.94</v>
      </c>
      <c r="X23" s="1">
        <v>23753992.800000001</v>
      </c>
      <c r="Y23" s="1">
        <v>23754355.57</v>
      </c>
      <c r="Z23" s="1">
        <v>1106408.25</v>
      </c>
      <c r="AA23" s="1">
        <v>34956</v>
      </c>
      <c r="AB23" s="1">
        <v>14586</v>
      </c>
      <c r="AC23" s="1">
        <v>6536</v>
      </c>
      <c r="AD23" s="1">
        <v>38.299999999999997</v>
      </c>
      <c r="AE23" s="1">
        <v>14880</v>
      </c>
      <c r="AF23" s="1">
        <v>17786.490000000002</v>
      </c>
      <c r="AG23" s="1">
        <v>45123.6</v>
      </c>
      <c r="AH23" s="1">
        <v>18000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26709</v>
      </c>
      <c r="AP23" s="1">
        <v>3078</v>
      </c>
      <c r="AQ23" s="1">
        <v>15720</v>
      </c>
      <c r="AR23" s="1">
        <v>28360</v>
      </c>
      <c r="AS23" s="1">
        <v>28590</v>
      </c>
      <c r="AU23" s="1">
        <v>56770</v>
      </c>
      <c r="AV23" s="1">
        <v>21119</v>
      </c>
      <c r="AW23" s="1">
        <v>0</v>
      </c>
      <c r="AX23" s="1">
        <v>0</v>
      </c>
      <c r="AY23" s="1">
        <v>0</v>
      </c>
      <c r="AZ23" s="1">
        <v>24438</v>
      </c>
      <c r="BA23" s="1">
        <v>0</v>
      </c>
      <c r="BB23" s="1">
        <v>78500</v>
      </c>
      <c r="BC23" s="1">
        <v>0</v>
      </c>
      <c r="BD23" s="1">
        <v>0</v>
      </c>
      <c r="BE23" s="1">
        <v>138064</v>
      </c>
      <c r="BF23" s="1">
        <v>78811.789999999994</v>
      </c>
      <c r="BG23" s="1">
        <v>0</v>
      </c>
      <c r="BH23" s="1">
        <v>18704</v>
      </c>
      <c r="BI23" s="1">
        <v>45458</v>
      </c>
      <c r="BJ23" s="1">
        <v>1488</v>
      </c>
      <c r="BK23" s="1">
        <v>0</v>
      </c>
      <c r="BL23" s="1">
        <v>0</v>
      </c>
      <c r="BM23" s="1">
        <v>4308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15790</v>
      </c>
      <c r="CA23" s="1">
        <v>0</v>
      </c>
      <c r="CB23" s="1">
        <v>0</v>
      </c>
      <c r="CC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28785.54</v>
      </c>
      <c r="CK23" s="1">
        <v>0</v>
      </c>
      <c r="CL23" s="1">
        <v>0</v>
      </c>
    </row>
    <row r="24" spans="1:90">
      <c r="A24" s="3">
        <v>46031</v>
      </c>
      <c r="B24" s="2">
        <v>1340</v>
      </c>
      <c r="C24" s="1">
        <v>447</v>
      </c>
      <c r="D24" s="1">
        <v>0</v>
      </c>
      <c r="E24" s="2">
        <v>39087</v>
      </c>
      <c r="F24" s="1">
        <v>51583</v>
      </c>
      <c r="G24" s="2">
        <v>3971787</v>
      </c>
      <c r="H24" s="1">
        <v>933097</v>
      </c>
      <c r="I24" s="1">
        <v>0</v>
      </c>
      <c r="J24" s="1">
        <v>3518563</v>
      </c>
      <c r="K24" s="2">
        <v>453224</v>
      </c>
      <c r="L24" s="1">
        <v>11856906.529999999</v>
      </c>
      <c r="M24" s="1">
        <v>31969054.699999999</v>
      </c>
      <c r="N24" s="1">
        <v>843874.77</v>
      </c>
      <c r="O24" s="2">
        <v>633</v>
      </c>
      <c r="P24" s="1">
        <v>6265</v>
      </c>
      <c r="Q24" s="1">
        <v>1576</v>
      </c>
      <c r="R24" s="1">
        <v>0</v>
      </c>
      <c r="S24" s="1">
        <v>6471517</v>
      </c>
      <c r="T24" s="1">
        <v>6342116.6600000001</v>
      </c>
      <c r="U24" s="1">
        <v>129400.34</v>
      </c>
      <c r="V24" s="1">
        <v>6079253.5899999999</v>
      </c>
      <c r="W24" s="1">
        <v>392313.41</v>
      </c>
      <c r="X24" s="1">
        <v>24553566.489999998</v>
      </c>
      <c r="Y24" s="1">
        <v>24648955.82</v>
      </c>
      <c r="Z24" s="1">
        <v>848582.28</v>
      </c>
      <c r="AA24" s="1">
        <v>36408</v>
      </c>
      <c r="AB24" s="1">
        <v>14426</v>
      </c>
      <c r="AC24" s="1">
        <v>8394</v>
      </c>
      <c r="AD24" s="1">
        <v>58.63</v>
      </c>
      <c r="AE24" s="1">
        <v>14730</v>
      </c>
      <c r="AF24" s="1">
        <v>21468.01</v>
      </c>
      <c r="AG24" s="1">
        <v>51152.76</v>
      </c>
      <c r="AH24" s="1">
        <v>19552</v>
      </c>
      <c r="AI24" s="1">
        <v>0</v>
      </c>
      <c r="AJ24" s="1">
        <v>5000</v>
      </c>
      <c r="AK24" s="1">
        <v>0</v>
      </c>
      <c r="AL24" s="1">
        <v>0</v>
      </c>
      <c r="AM24" s="1">
        <v>0</v>
      </c>
      <c r="AN24" s="1">
        <v>0</v>
      </c>
      <c r="AO24" s="1">
        <v>86059</v>
      </c>
      <c r="AP24" s="1">
        <v>5210</v>
      </c>
      <c r="AQ24" s="1">
        <v>16683</v>
      </c>
      <c r="AR24" s="1">
        <v>33548</v>
      </c>
      <c r="AS24" s="1">
        <v>30710</v>
      </c>
      <c r="AU24" s="1">
        <v>53790</v>
      </c>
      <c r="AV24" s="1">
        <v>20172</v>
      </c>
      <c r="AW24" s="1">
        <v>0</v>
      </c>
      <c r="AX24" s="1">
        <v>0</v>
      </c>
      <c r="AY24" s="1">
        <v>0</v>
      </c>
      <c r="AZ24" s="1">
        <v>25344</v>
      </c>
      <c r="BA24" s="1">
        <v>0</v>
      </c>
      <c r="BB24" s="1">
        <v>83548</v>
      </c>
      <c r="BC24" s="1">
        <v>0</v>
      </c>
      <c r="BD24" s="1">
        <v>0</v>
      </c>
      <c r="BE24" s="1">
        <v>126988</v>
      </c>
      <c r="BF24" s="1">
        <v>80957.33</v>
      </c>
      <c r="BG24" s="1">
        <v>0</v>
      </c>
      <c r="BH24" s="1">
        <v>21072</v>
      </c>
      <c r="BI24" s="1">
        <v>47297</v>
      </c>
      <c r="BJ24" s="1">
        <v>1460</v>
      </c>
      <c r="BK24" s="1">
        <v>0</v>
      </c>
      <c r="BL24" s="1">
        <v>0</v>
      </c>
      <c r="BM24" s="1">
        <v>4448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21180</v>
      </c>
      <c r="CA24" s="1">
        <v>0</v>
      </c>
      <c r="CB24" s="1">
        <v>0</v>
      </c>
      <c r="CC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30010.78</v>
      </c>
      <c r="CK24" s="1">
        <v>0</v>
      </c>
      <c r="CL24" s="1">
        <v>0</v>
      </c>
    </row>
    <row r="25" spans="1:90">
      <c r="A25" s="3">
        <v>46030</v>
      </c>
      <c r="B25" s="2">
        <v>1493</v>
      </c>
      <c r="C25" s="1">
        <v>599</v>
      </c>
      <c r="D25" s="1">
        <v>0</v>
      </c>
      <c r="E25" s="2">
        <v>39727</v>
      </c>
      <c r="F25" s="1">
        <v>52123</v>
      </c>
      <c r="G25" s="2">
        <v>4550735</v>
      </c>
      <c r="H25" s="1">
        <v>964046</v>
      </c>
      <c r="I25" s="1">
        <v>0</v>
      </c>
      <c r="J25" s="1">
        <v>4146466</v>
      </c>
      <c r="K25" s="2">
        <v>404269</v>
      </c>
      <c r="L25" s="1">
        <v>11988878.380000001</v>
      </c>
      <c r="M25" s="1">
        <v>37236599.340000004</v>
      </c>
      <c r="N25" s="1">
        <v>1262226.5900000001</v>
      </c>
      <c r="O25" s="2">
        <v>658</v>
      </c>
      <c r="P25" s="1">
        <v>8508</v>
      </c>
      <c r="Q25" s="1">
        <v>2073</v>
      </c>
      <c r="R25" s="1">
        <v>0</v>
      </c>
      <c r="S25" s="1">
        <v>7062691</v>
      </c>
      <c r="T25" s="1">
        <v>6921455.1799999997</v>
      </c>
      <c r="U25" s="1">
        <v>141235.82</v>
      </c>
      <c r="V25" s="1">
        <v>6630056.5199999996</v>
      </c>
      <c r="W25" s="1">
        <v>433084.48</v>
      </c>
      <c r="X25" s="1">
        <v>29241351.469999999</v>
      </c>
      <c r="Y25" s="1">
        <v>28777448.93</v>
      </c>
      <c r="Z25" s="1">
        <v>1396459.64</v>
      </c>
      <c r="AA25" s="1">
        <v>31742</v>
      </c>
      <c r="AB25" s="1">
        <v>15564</v>
      </c>
      <c r="AC25" s="1">
        <v>8798</v>
      </c>
      <c r="AD25" s="1">
        <v>178.39</v>
      </c>
      <c r="AE25" s="1">
        <v>16044</v>
      </c>
      <c r="AF25" s="1">
        <v>20130.900000000001</v>
      </c>
      <c r="AG25" s="1">
        <v>46874.01</v>
      </c>
      <c r="AH25" s="1">
        <v>19630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77991</v>
      </c>
      <c r="AP25" s="1">
        <v>7844</v>
      </c>
      <c r="AQ25" s="1">
        <v>17381</v>
      </c>
      <c r="AR25" s="1">
        <v>53346</v>
      </c>
      <c r="AS25" s="1">
        <v>42220</v>
      </c>
      <c r="AU25" s="1">
        <v>58990</v>
      </c>
      <c r="AV25" s="1">
        <v>29443</v>
      </c>
      <c r="AW25" s="1">
        <v>0</v>
      </c>
      <c r="AX25" s="1">
        <v>0</v>
      </c>
      <c r="AY25" s="1">
        <v>0</v>
      </c>
      <c r="AZ25" s="1">
        <v>28136</v>
      </c>
      <c r="BA25" s="1">
        <v>354342</v>
      </c>
      <c r="BB25" s="1">
        <v>87876</v>
      </c>
      <c r="BC25" s="1">
        <v>0</v>
      </c>
      <c r="BD25" s="1">
        <v>0</v>
      </c>
      <c r="BE25" s="1">
        <v>111592</v>
      </c>
      <c r="BF25" s="1">
        <v>92526.41</v>
      </c>
      <c r="BG25" s="1">
        <v>0</v>
      </c>
      <c r="BH25" s="1">
        <v>22912</v>
      </c>
      <c r="BI25" s="1">
        <v>48142</v>
      </c>
      <c r="BJ25" s="1">
        <v>1982</v>
      </c>
      <c r="BK25" s="1">
        <v>0</v>
      </c>
      <c r="BL25" s="1">
        <v>0</v>
      </c>
      <c r="BM25" s="1">
        <v>5024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15612</v>
      </c>
      <c r="CA25" s="1">
        <v>0</v>
      </c>
      <c r="CB25" s="1">
        <v>0</v>
      </c>
      <c r="CC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39120.65</v>
      </c>
      <c r="CK25" s="1">
        <v>0</v>
      </c>
      <c r="CL25" s="1">
        <v>0</v>
      </c>
    </row>
    <row r="26" spans="1:90">
      <c r="A26" s="3">
        <v>46029</v>
      </c>
      <c r="B26" s="2">
        <v>1710</v>
      </c>
      <c r="C26" s="1">
        <v>901</v>
      </c>
      <c r="D26" s="1">
        <v>0</v>
      </c>
      <c r="E26" s="2">
        <v>41169</v>
      </c>
      <c r="F26" s="1">
        <v>51385</v>
      </c>
      <c r="G26" s="2">
        <v>4426384</v>
      </c>
      <c r="H26" s="1">
        <v>817124</v>
      </c>
      <c r="I26" s="1">
        <v>0</v>
      </c>
      <c r="J26" s="1">
        <v>3607833</v>
      </c>
      <c r="K26" s="2">
        <v>818551</v>
      </c>
      <c r="L26" s="1">
        <v>11974380.99</v>
      </c>
      <c r="M26" s="1">
        <v>35920152.049999997</v>
      </c>
      <c r="N26" s="1">
        <v>931764.75</v>
      </c>
      <c r="O26" s="2">
        <v>543</v>
      </c>
      <c r="P26" s="1">
        <v>6355</v>
      </c>
      <c r="Q26" s="1">
        <v>1539</v>
      </c>
      <c r="R26" s="1">
        <v>0</v>
      </c>
      <c r="S26" s="1">
        <v>6848582</v>
      </c>
      <c r="T26" s="1">
        <v>6711649.3600000003</v>
      </c>
      <c r="U26" s="1">
        <v>136932.64000000001</v>
      </c>
      <c r="V26" s="1">
        <v>6388970.8600000003</v>
      </c>
      <c r="W26" s="1">
        <v>459261.14</v>
      </c>
      <c r="X26" s="1">
        <v>26825295.739999998</v>
      </c>
      <c r="Y26" s="1">
        <v>27716578.84</v>
      </c>
      <c r="Z26" s="1">
        <v>1354991.52</v>
      </c>
      <c r="AA26" s="1">
        <v>35252</v>
      </c>
      <c r="AB26" s="1">
        <v>13396</v>
      </c>
      <c r="AC26" s="1">
        <v>6636</v>
      </c>
      <c r="AD26" s="1">
        <v>36.82</v>
      </c>
      <c r="AE26" s="1">
        <v>15678</v>
      </c>
      <c r="AF26" s="1">
        <v>20174.650000000001</v>
      </c>
      <c r="AG26" s="1">
        <v>48566.400000000001</v>
      </c>
      <c r="AH26" s="1">
        <v>21201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77945</v>
      </c>
      <c r="AP26" s="1">
        <v>4432</v>
      </c>
      <c r="AQ26" s="1">
        <v>16603</v>
      </c>
      <c r="AR26" s="1">
        <v>55108</v>
      </c>
      <c r="AS26" s="1">
        <v>47260</v>
      </c>
      <c r="AU26" s="1">
        <v>51480</v>
      </c>
      <c r="AV26" s="1">
        <v>30052</v>
      </c>
      <c r="AW26" s="1">
        <v>0</v>
      </c>
      <c r="AX26" s="1">
        <v>0</v>
      </c>
      <c r="AY26" s="1">
        <v>0</v>
      </c>
      <c r="AZ26" s="1">
        <v>26090</v>
      </c>
      <c r="BA26" s="1">
        <v>42</v>
      </c>
      <c r="BB26" s="1">
        <v>78188</v>
      </c>
      <c r="BC26" s="1">
        <v>0</v>
      </c>
      <c r="BD26" s="1">
        <v>0</v>
      </c>
      <c r="BE26" s="1">
        <v>162162</v>
      </c>
      <c r="BF26" s="1">
        <v>88184.33</v>
      </c>
      <c r="BG26" s="1">
        <v>0</v>
      </c>
      <c r="BH26" s="1">
        <v>23936</v>
      </c>
      <c r="BI26" s="1">
        <v>47382</v>
      </c>
      <c r="BJ26" s="1">
        <v>1780</v>
      </c>
      <c r="BK26" s="1">
        <v>0</v>
      </c>
      <c r="BL26" s="1">
        <v>0</v>
      </c>
      <c r="BM26" s="1">
        <v>5348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21068</v>
      </c>
      <c r="CA26" s="1">
        <v>0</v>
      </c>
      <c r="CB26" s="1">
        <v>0</v>
      </c>
      <c r="CC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29516.34</v>
      </c>
      <c r="CK26" s="1">
        <v>0</v>
      </c>
      <c r="CL26" s="1">
        <v>0</v>
      </c>
    </row>
    <row r="27" spans="1:90">
      <c r="A27" s="3">
        <v>46028</v>
      </c>
      <c r="B27" s="2">
        <v>918</v>
      </c>
      <c r="C27" s="1">
        <v>377</v>
      </c>
      <c r="D27" s="1">
        <v>0</v>
      </c>
      <c r="E27" s="2">
        <v>42159</v>
      </c>
      <c r="F27" s="1">
        <v>54017</v>
      </c>
      <c r="G27" s="2">
        <v>4561972</v>
      </c>
      <c r="H27" s="1">
        <v>970389</v>
      </c>
      <c r="I27" s="1">
        <v>0</v>
      </c>
      <c r="J27" s="1">
        <v>3739363</v>
      </c>
      <c r="K27" s="2">
        <v>822609</v>
      </c>
      <c r="L27" s="1">
        <v>11870287.539999999</v>
      </c>
      <c r="M27" s="1">
        <v>35556851.670000002</v>
      </c>
      <c r="N27" s="1">
        <v>855348.69</v>
      </c>
      <c r="O27" s="2">
        <v>544</v>
      </c>
      <c r="P27" s="1">
        <v>6284</v>
      </c>
      <c r="Q27" s="1">
        <v>1539</v>
      </c>
      <c r="R27" s="1">
        <v>0</v>
      </c>
      <c r="S27" s="1">
        <v>6873315</v>
      </c>
      <c r="T27" s="1">
        <v>6735896.7000000002</v>
      </c>
      <c r="U27" s="1">
        <v>137418.29999999999</v>
      </c>
      <c r="V27" s="1">
        <v>6443536.3700000001</v>
      </c>
      <c r="W27" s="1">
        <v>429728.63</v>
      </c>
      <c r="X27" s="1">
        <v>26827925.780000001</v>
      </c>
      <c r="Y27" s="1">
        <v>27454667.199999999</v>
      </c>
      <c r="Z27" s="1">
        <v>1228869.77</v>
      </c>
      <c r="AA27" s="1">
        <v>36948</v>
      </c>
      <c r="AB27" s="1">
        <v>13540</v>
      </c>
      <c r="AC27" s="1">
        <v>5794</v>
      </c>
      <c r="AD27" s="1">
        <v>195.36</v>
      </c>
      <c r="AE27" s="1">
        <v>15192</v>
      </c>
      <c r="AF27" s="1">
        <v>17416</v>
      </c>
      <c r="AG27" s="1">
        <v>40893.040000000001</v>
      </c>
      <c r="AH27" s="1">
        <v>15729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64242</v>
      </c>
      <c r="AP27" s="1">
        <v>5032</v>
      </c>
      <c r="AQ27" s="1">
        <v>16176</v>
      </c>
      <c r="AR27" s="1">
        <v>72268</v>
      </c>
      <c r="AS27" s="1">
        <v>57420</v>
      </c>
      <c r="AU27" s="1">
        <v>44880</v>
      </c>
      <c r="AV27" s="1">
        <v>30142</v>
      </c>
      <c r="AW27" s="1">
        <v>0</v>
      </c>
      <c r="AX27" s="1">
        <v>0</v>
      </c>
      <c r="AY27" s="1">
        <v>0</v>
      </c>
      <c r="AZ27" s="1">
        <v>25472</v>
      </c>
      <c r="BA27" s="1">
        <v>0</v>
      </c>
      <c r="BB27" s="1">
        <v>71500</v>
      </c>
      <c r="BC27" s="1">
        <v>0</v>
      </c>
      <c r="BD27" s="1">
        <v>0</v>
      </c>
      <c r="BE27" s="1">
        <v>164348</v>
      </c>
      <c r="BF27" s="1">
        <v>77807.89</v>
      </c>
      <c r="BG27" s="1">
        <v>0</v>
      </c>
      <c r="BH27" s="1">
        <v>24928</v>
      </c>
      <c r="BI27" s="1">
        <v>0</v>
      </c>
      <c r="BJ27" s="1">
        <v>1356</v>
      </c>
      <c r="BK27" s="1">
        <v>0</v>
      </c>
      <c r="BL27" s="1">
        <v>0</v>
      </c>
      <c r="BM27" s="1">
        <v>6836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20226</v>
      </c>
      <c r="CA27" s="1">
        <v>0</v>
      </c>
      <c r="CB27" s="1">
        <v>0</v>
      </c>
      <c r="CC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</row>
    <row r="28" spans="1:90">
      <c r="A28" s="3">
        <v>46027</v>
      </c>
      <c r="B28" s="2">
        <v>1012</v>
      </c>
      <c r="C28" s="1">
        <v>404</v>
      </c>
      <c r="D28" s="1">
        <v>0</v>
      </c>
      <c r="E28" s="2">
        <v>39498</v>
      </c>
      <c r="F28" s="1">
        <v>49876</v>
      </c>
      <c r="G28" s="2">
        <v>3775923</v>
      </c>
      <c r="H28" s="1">
        <v>808709</v>
      </c>
      <c r="I28" s="1">
        <v>0</v>
      </c>
      <c r="J28" s="1">
        <v>2951677</v>
      </c>
      <c r="K28" s="2">
        <v>824246</v>
      </c>
      <c r="L28" s="1">
        <v>11819552.029999999</v>
      </c>
      <c r="M28" s="1">
        <v>31886134.59</v>
      </c>
      <c r="N28" s="1">
        <v>816957.4</v>
      </c>
      <c r="O28" s="2">
        <v>536</v>
      </c>
      <c r="P28" s="1">
        <v>6712</v>
      </c>
      <c r="Q28" s="1">
        <v>1664</v>
      </c>
      <c r="R28" s="1">
        <v>0</v>
      </c>
      <c r="S28" s="1">
        <v>5962256</v>
      </c>
      <c r="T28" s="1">
        <v>5843047.8799999999</v>
      </c>
      <c r="U28" s="1">
        <v>119208.12</v>
      </c>
      <c r="V28" s="1">
        <v>5581308.4699999997</v>
      </c>
      <c r="W28" s="1">
        <v>380097.53</v>
      </c>
      <c r="X28" s="1">
        <v>23786255.300000001</v>
      </c>
      <c r="Y28" s="1">
        <v>24810168.23</v>
      </c>
      <c r="Z28" s="1">
        <v>1113710.3799999999</v>
      </c>
      <c r="AA28" s="1">
        <v>30144</v>
      </c>
      <c r="AB28" s="1">
        <v>12822</v>
      </c>
      <c r="AC28" s="1">
        <v>7304</v>
      </c>
      <c r="AD28" s="1">
        <v>47.85</v>
      </c>
      <c r="AE28" s="1">
        <v>14994</v>
      </c>
      <c r="AF28" s="1">
        <v>18872.080000000002</v>
      </c>
      <c r="AG28" s="1">
        <v>44697.97</v>
      </c>
      <c r="AH28" s="1">
        <v>14998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29127</v>
      </c>
      <c r="AP28" s="1">
        <v>3598</v>
      </c>
      <c r="AQ28" s="1">
        <v>15890</v>
      </c>
      <c r="AR28" s="1">
        <v>148602</v>
      </c>
      <c r="AS28" s="1">
        <v>67410</v>
      </c>
      <c r="AU28" s="1">
        <v>58030</v>
      </c>
      <c r="AV28" s="1">
        <v>30528</v>
      </c>
      <c r="AW28" s="1">
        <v>0</v>
      </c>
      <c r="AX28" s="1">
        <v>0</v>
      </c>
      <c r="AY28" s="1">
        <v>0</v>
      </c>
      <c r="AZ28" s="1">
        <v>23360</v>
      </c>
      <c r="BA28" s="1">
        <v>0</v>
      </c>
      <c r="BB28" s="1">
        <v>82688</v>
      </c>
      <c r="BC28" s="1">
        <v>0</v>
      </c>
      <c r="BD28" s="1">
        <v>0</v>
      </c>
      <c r="BE28" s="1">
        <v>30294</v>
      </c>
      <c r="BF28" s="1">
        <v>86833.88</v>
      </c>
      <c r="BG28" s="1">
        <v>0</v>
      </c>
      <c r="BH28" s="1">
        <v>27728</v>
      </c>
      <c r="BI28" s="1">
        <v>0</v>
      </c>
      <c r="BJ28" s="1">
        <v>2488</v>
      </c>
      <c r="BK28" s="1">
        <v>0</v>
      </c>
      <c r="BL28" s="1">
        <v>0</v>
      </c>
      <c r="BM28" s="1">
        <v>5954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21178</v>
      </c>
      <c r="CA28" s="1">
        <v>0</v>
      </c>
      <c r="CB28" s="1">
        <v>0</v>
      </c>
      <c r="CC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</row>
    <row r="29" spans="1:90">
      <c r="A29" s="3">
        <v>46026</v>
      </c>
      <c r="B29" s="2">
        <v>1151</v>
      </c>
      <c r="C29" s="1">
        <v>444</v>
      </c>
      <c r="D29" s="1">
        <v>0</v>
      </c>
      <c r="E29" s="2">
        <v>38854</v>
      </c>
      <c r="F29" s="1">
        <v>49092</v>
      </c>
      <c r="G29" s="2">
        <v>4125905</v>
      </c>
      <c r="H29" s="1">
        <v>826534</v>
      </c>
      <c r="I29" s="1">
        <v>0</v>
      </c>
      <c r="J29" s="1">
        <v>3267487</v>
      </c>
      <c r="K29" s="2">
        <v>858418</v>
      </c>
      <c r="L29" s="1">
        <v>11874111.220000001</v>
      </c>
      <c r="M29" s="1">
        <v>34039701.520000003</v>
      </c>
      <c r="N29" s="1">
        <v>821296.39</v>
      </c>
      <c r="O29" s="2">
        <v>586</v>
      </c>
      <c r="P29" s="1">
        <v>6239</v>
      </c>
      <c r="Q29" s="1">
        <v>1554</v>
      </c>
      <c r="R29" s="1">
        <v>0</v>
      </c>
      <c r="S29" s="1">
        <v>5775894</v>
      </c>
      <c r="T29" s="1">
        <v>5660402.1200000001</v>
      </c>
      <c r="U29" s="1">
        <v>115491.88</v>
      </c>
      <c r="V29" s="1">
        <v>5398291.2800000003</v>
      </c>
      <c r="W29" s="1">
        <v>377652.72</v>
      </c>
      <c r="X29" s="1">
        <v>27137095.579999998</v>
      </c>
      <c r="Y29" s="1">
        <v>26867067.809999999</v>
      </c>
      <c r="Z29" s="1">
        <v>1396740.11</v>
      </c>
      <c r="AA29" s="1">
        <v>39774</v>
      </c>
      <c r="AB29" s="1">
        <v>16782</v>
      </c>
      <c r="AC29" s="1">
        <v>7326</v>
      </c>
      <c r="AD29" s="1">
        <v>45.37</v>
      </c>
      <c r="AE29" s="1">
        <v>15264</v>
      </c>
      <c r="AF29" s="1">
        <v>19702.009999999998</v>
      </c>
      <c r="AG29" s="1">
        <v>44810.46</v>
      </c>
      <c r="AH29" s="1">
        <v>17641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19397</v>
      </c>
      <c r="AP29" s="1">
        <v>6294</v>
      </c>
      <c r="AQ29" s="1">
        <v>15148</v>
      </c>
      <c r="AR29" s="1">
        <v>30582</v>
      </c>
      <c r="AS29" s="1">
        <v>81910</v>
      </c>
      <c r="AU29" s="1">
        <v>49500</v>
      </c>
      <c r="AV29" s="1">
        <v>50086</v>
      </c>
      <c r="AW29" s="1">
        <v>0</v>
      </c>
      <c r="AX29" s="1">
        <v>0</v>
      </c>
      <c r="AY29" s="1">
        <v>0</v>
      </c>
      <c r="AZ29" s="1">
        <v>24256</v>
      </c>
      <c r="BA29" s="1">
        <v>0</v>
      </c>
      <c r="BB29" s="1">
        <v>84000</v>
      </c>
      <c r="BC29" s="1">
        <v>0</v>
      </c>
      <c r="BD29" s="1">
        <v>0</v>
      </c>
      <c r="BE29" s="1">
        <v>45532</v>
      </c>
      <c r="BF29" s="1">
        <v>81785.06</v>
      </c>
      <c r="BG29" s="1">
        <v>0</v>
      </c>
      <c r="BH29" s="1">
        <v>37040</v>
      </c>
      <c r="BI29" s="1">
        <v>0</v>
      </c>
      <c r="BJ29" s="1">
        <v>1848</v>
      </c>
      <c r="BK29" s="1">
        <v>0</v>
      </c>
      <c r="BL29" s="1">
        <v>0</v>
      </c>
      <c r="BM29" s="1">
        <v>6020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18510</v>
      </c>
      <c r="CA29" s="1">
        <v>0</v>
      </c>
      <c r="CB29" s="1">
        <v>0</v>
      </c>
      <c r="CC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</row>
    <row r="30" spans="1:90">
      <c r="A30" s="3">
        <v>46025</v>
      </c>
      <c r="B30" s="2">
        <v>2962</v>
      </c>
      <c r="C30" s="1">
        <v>1300</v>
      </c>
      <c r="D30" s="1">
        <v>0</v>
      </c>
      <c r="E30" s="2">
        <v>43117</v>
      </c>
      <c r="F30" s="1">
        <v>54804</v>
      </c>
      <c r="G30" s="2">
        <v>4337035</v>
      </c>
      <c r="H30" s="1">
        <v>873080</v>
      </c>
      <c r="I30" s="1">
        <v>0</v>
      </c>
      <c r="J30" s="1">
        <v>3555750</v>
      </c>
      <c r="K30" s="2">
        <v>781285</v>
      </c>
      <c r="L30" s="1">
        <v>11824393.48</v>
      </c>
      <c r="M30" s="1">
        <v>34419024.210000001</v>
      </c>
      <c r="N30" s="1">
        <v>937046.53</v>
      </c>
      <c r="O30" s="2">
        <v>613</v>
      </c>
      <c r="P30" s="1">
        <v>6669</v>
      </c>
      <c r="Q30" s="1">
        <v>1668</v>
      </c>
      <c r="R30" s="1">
        <v>0</v>
      </c>
      <c r="S30" s="1">
        <v>5720604</v>
      </c>
      <c r="T30" s="1">
        <v>5606202.9199999999</v>
      </c>
      <c r="U30" s="1">
        <v>114401.08</v>
      </c>
      <c r="V30" s="1">
        <v>5373511.7300000004</v>
      </c>
      <c r="W30" s="1">
        <v>346892.27</v>
      </c>
      <c r="X30" s="1">
        <v>27404881.670000002</v>
      </c>
      <c r="Y30" s="1">
        <v>27395632.899999999</v>
      </c>
      <c r="Z30" s="1">
        <v>1302787.47</v>
      </c>
      <c r="AA30" s="1">
        <v>42068</v>
      </c>
      <c r="AB30" s="1">
        <v>14098</v>
      </c>
      <c r="AC30" s="1">
        <v>6646</v>
      </c>
      <c r="AD30" s="1">
        <v>209.23</v>
      </c>
      <c r="AE30" s="1">
        <v>15096</v>
      </c>
      <c r="AF30" s="1">
        <v>23915.46</v>
      </c>
      <c r="AG30" s="1">
        <v>50312.68</v>
      </c>
      <c r="AH30" s="1">
        <v>18000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30563</v>
      </c>
      <c r="AP30" s="1">
        <v>4196</v>
      </c>
      <c r="AQ30" s="1">
        <v>17392</v>
      </c>
      <c r="AR30" s="1">
        <v>39038</v>
      </c>
      <c r="AS30" s="1">
        <v>120670</v>
      </c>
      <c r="AU30" s="1">
        <v>54180</v>
      </c>
      <c r="AV30" s="1">
        <v>36108</v>
      </c>
      <c r="AW30" s="1">
        <v>0</v>
      </c>
      <c r="AX30" s="1">
        <v>0</v>
      </c>
      <c r="AY30" s="1">
        <v>0</v>
      </c>
      <c r="AZ30" s="1">
        <v>25768</v>
      </c>
      <c r="BA30" s="1">
        <v>0</v>
      </c>
      <c r="BB30" s="1">
        <v>84274</v>
      </c>
      <c r="BC30" s="1">
        <v>0</v>
      </c>
      <c r="BD30" s="1">
        <v>0</v>
      </c>
      <c r="BE30" s="1">
        <v>60910</v>
      </c>
      <c r="BF30" s="1">
        <v>94036.17</v>
      </c>
      <c r="BG30" s="1">
        <v>0</v>
      </c>
      <c r="BH30" s="1">
        <v>66144</v>
      </c>
      <c r="BI30" s="1">
        <v>0</v>
      </c>
      <c r="BJ30" s="1">
        <v>1640</v>
      </c>
      <c r="BK30" s="1">
        <v>0</v>
      </c>
      <c r="BL30" s="1">
        <v>0</v>
      </c>
      <c r="BM30" s="1">
        <v>4140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23966</v>
      </c>
      <c r="CA30" s="1">
        <v>0</v>
      </c>
      <c r="CB30" s="1">
        <v>0</v>
      </c>
      <c r="CC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</row>
    <row r="31" spans="1:90">
      <c r="A31" s="3">
        <v>46024</v>
      </c>
      <c r="B31" s="2">
        <v>852</v>
      </c>
      <c r="C31" s="1">
        <v>367</v>
      </c>
      <c r="D31" s="1">
        <v>0</v>
      </c>
      <c r="E31" s="2">
        <v>40550</v>
      </c>
      <c r="F31" s="1">
        <v>51577</v>
      </c>
      <c r="G31" s="2">
        <v>4373149</v>
      </c>
      <c r="H31" s="1">
        <v>910508</v>
      </c>
      <c r="I31" s="1">
        <v>0</v>
      </c>
      <c r="J31" s="1">
        <v>3792806</v>
      </c>
      <c r="K31" s="2">
        <v>580343</v>
      </c>
      <c r="L31" s="1">
        <v>11919911.939999999</v>
      </c>
      <c r="M31" s="1">
        <v>41832832.640000001</v>
      </c>
      <c r="N31" s="1">
        <v>1019063</v>
      </c>
      <c r="O31" s="2">
        <v>513</v>
      </c>
      <c r="P31" s="1">
        <v>7418</v>
      </c>
      <c r="Q31" s="1">
        <v>1825</v>
      </c>
      <c r="R31" s="1">
        <v>0</v>
      </c>
      <c r="S31" s="1">
        <v>6196652</v>
      </c>
      <c r="T31" s="1">
        <v>6072725.96</v>
      </c>
      <c r="U31" s="1">
        <v>123926.04</v>
      </c>
      <c r="V31" s="1">
        <v>5791682.7599999998</v>
      </c>
      <c r="W31" s="1">
        <v>405919.24</v>
      </c>
      <c r="X31" s="1">
        <v>32799276.600000001</v>
      </c>
      <c r="Y31" s="1">
        <v>34178539.520000003</v>
      </c>
      <c r="Z31" s="1">
        <v>1457641.22</v>
      </c>
      <c r="AA31" s="1">
        <v>31572</v>
      </c>
      <c r="AB31" s="1">
        <v>13088</v>
      </c>
      <c r="AC31" s="1">
        <v>9144</v>
      </c>
      <c r="AD31" s="1">
        <v>86.33</v>
      </c>
      <c r="AE31" s="1">
        <v>15642</v>
      </c>
      <c r="AF31" s="1">
        <v>24154.73</v>
      </c>
      <c r="AG31" s="1">
        <v>55148.800000000003</v>
      </c>
      <c r="AH31" s="1">
        <v>18776</v>
      </c>
      <c r="AI31" s="1">
        <v>0</v>
      </c>
      <c r="AJ31" s="1">
        <v>0</v>
      </c>
      <c r="AK31" s="1">
        <v>0</v>
      </c>
      <c r="AL31" s="1">
        <v>0</v>
      </c>
      <c r="AM31" s="1">
        <v>3</v>
      </c>
      <c r="AN31" s="1">
        <v>0</v>
      </c>
      <c r="AO31" s="1">
        <v>48216</v>
      </c>
      <c r="AP31" s="1">
        <v>4340</v>
      </c>
      <c r="AQ31" s="1">
        <v>18861</v>
      </c>
      <c r="AR31" s="1">
        <v>58354</v>
      </c>
      <c r="AS31" s="1">
        <v>205590</v>
      </c>
      <c r="AU31" s="1">
        <v>56260</v>
      </c>
      <c r="AV31" s="1">
        <v>30301</v>
      </c>
      <c r="AW31" s="1">
        <v>0</v>
      </c>
      <c r="AX31" s="1">
        <v>0</v>
      </c>
      <c r="AY31" s="1">
        <v>0</v>
      </c>
      <c r="AZ31" s="1">
        <v>27810</v>
      </c>
      <c r="BA31" s="1">
        <v>0</v>
      </c>
      <c r="BB31" s="1">
        <v>82586</v>
      </c>
      <c r="BC31" s="1">
        <v>0</v>
      </c>
      <c r="BD31" s="1">
        <v>0</v>
      </c>
      <c r="BE31" s="1">
        <v>105797</v>
      </c>
      <c r="BF31" s="1">
        <v>85204.75</v>
      </c>
      <c r="BG31" s="1">
        <v>0</v>
      </c>
      <c r="BH31" s="1">
        <v>10524</v>
      </c>
      <c r="BI31" s="1">
        <v>0</v>
      </c>
      <c r="BJ31" s="1">
        <v>1842</v>
      </c>
      <c r="BK31" s="1">
        <v>0</v>
      </c>
      <c r="BL31" s="1">
        <v>0</v>
      </c>
      <c r="BM31" s="1">
        <v>2930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25402</v>
      </c>
      <c r="CA31" s="1">
        <v>0</v>
      </c>
      <c r="CB31" s="1">
        <v>0</v>
      </c>
      <c r="CC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</row>
    <row r="32" spans="1:90">
      <c r="A32" s="3">
        <v>46023</v>
      </c>
      <c r="B32" s="2">
        <v>906</v>
      </c>
      <c r="C32" s="1">
        <v>367</v>
      </c>
      <c r="D32" s="1">
        <v>0</v>
      </c>
      <c r="E32" s="2">
        <v>44784</v>
      </c>
      <c r="F32" s="1">
        <v>61368</v>
      </c>
      <c r="G32" s="2">
        <v>4809770</v>
      </c>
      <c r="H32" s="1">
        <v>1075355</v>
      </c>
      <c r="I32" s="1">
        <v>0</v>
      </c>
      <c r="J32" s="1">
        <v>4235040</v>
      </c>
      <c r="K32" s="2">
        <v>574730</v>
      </c>
      <c r="L32" s="1">
        <v>11808714.43</v>
      </c>
      <c r="M32" s="1">
        <v>46870353.020000003</v>
      </c>
      <c r="N32" s="1">
        <v>1925517.79</v>
      </c>
      <c r="O32" s="2">
        <v>509</v>
      </c>
      <c r="P32" s="1">
        <v>10633</v>
      </c>
      <c r="Q32" s="1">
        <v>2559</v>
      </c>
      <c r="R32" s="1">
        <v>0</v>
      </c>
      <c r="S32" s="1">
        <v>7607550</v>
      </c>
      <c r="T32" s="1">
        <v>7455434</v>
      </c>
      <c r="U32" s="1">
        <v>152116</v>
      </c>
      <c r="V32" s="1">
        <v>7128455.46</v>
      </c>
      <c r="W32" s="1">
        <v>478244.54</v>
      </c>
      <c r="X32" s="1">
        <v>35716882.600000001</v>
      </c>
      <c r="Y32" s="1">
        <v>37734496.829999998</v>
      </c>
      <c r="Z32" s="1">
        <v>1528306.32</v>
      </c>
      <c r="AA32" s="1">
        <v>35270</v>
      </c>
      <c r="AB32" s="1">
        <v>14512</v>
      </c>
      <c r="AC32" s="1">
        <v>7672</v>
      </c>
      <c r="AD32" s="1">
        <v>73.599999999999994</v>
      </c>
      <c r="AE32" s="1">
        <v>18132</v>
      </c>
      <c r="AF32" s="1">
        <v>17967.03</v>
      </c>
      <c r="AG32" s="1">
        <v>39224.339999999997</v>
      </c>
      <c r="AH32" s="1">
        <v>16765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21105</v>
      </c>
      <c r="AP32" s="1">
        <v>3412</v>
      </c>
      <c r="AQ32" s="1">
        <v>22285</v>
      </c>
      <c r="AR32" s="1">
        <v>104208</v>
      </c>
      <c r="AS32" s="1">
        <v>701800</v>
      </c>
      <c r="AU32" s="1">
        <v>58860</v>
      </c>
      <c r="AV32" s="1">
        <v>34647</v>
      </c>
      <c r="AW32" s="1">
        <v>0</v>
      </c>
      <c r="AX32" s="1">
        <v>0</v>
      </c>
      <c r="AY32" s="1">
        <v>0</v>
      </c>
      <c r="AZ32" s="1">
        <v>33628</v>
      </c>
      <c r="BA32" s="1">
        <v>371772</v>
      </c>
      <c r="BB32" s="1">
        <v>62500</v>
      </c>
      <c r="BC32" s="1">
        <v>0</v>
      </c>
      <c r="BD32" s="1">
        <v>0</v>
      </c>
      <c r="BE32" s="1">
        <v>154622</v>
      </c>
      <c r="BF32" s="1">
        <v>63235.27</v>
      </c>
      <c r="BG32" s="1">
        <v>0</v>
      </c>
      <c r="BH32" s="1">
        <v>0</v>
      </c>
      <c r="BI32" s="1">
        <v>0</v>
      </c>
      <c r="BJ32" s="1">
        <v>1984</v>
      </c>
      <c r="BK32" s="1">
        <v>0</v>
      </c>
      <c r="BL32" s="1">
        <v>0</v>
      </c>
      <c r="BM32" s="1">
        <v>1680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17750</v>
      </c>
      <c r="CA32" s="1">
        <v>0</v>
      </c>
      <c r="CB32" s="1">
        <v>0</v>
      </c>
      <c r="CC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</row>
    <row r="33" spans="2:16">
      <c r="B33" s="1">
        <f>SUM(B3:B31)</f>
        <v>31728</v>
      </c>
      <c r="E33" s="1">
        <f>SUM(E3:E32)</f>
        <v>1184850</v>
      </c>
      <c r="G33" s="1">
        <f>SUM(G3:G32)</f>
        <v>119187940</v>
      </c>
      <c r="K33" s="1">
        <f>SUM(K3:K32)</f>
        <v>14194750</v>
      </c>
      <c r="O33" s="1">
        <f>SUM(O3:O31)</f>
        <v>16152</v>
      </c>
      <c r="P33" s="1">
        <f>SUM(P3:P32)</f>
        <v>189094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DEE7-9CC5-9142-87AD-D053BC697D3E}">
  <dimension ref="A1:AG54"/>
  <sheetViews>
    <sheetView tabSelected="1" topLeftCell="A17" zoomScale="157" workbookViewId="0">
      <selection activeCell="L39" sqref="L39"/>
    </sheetView>
  </sheetViews>
  <sheetFormatPr baseColWidth="10" defaultRowHeight="16"/>
  <cols>
    <col min="2" max="2" width="26.5" customWidth="1"/>
    <col min="3" max="3" width="28" customWidth="1"/>
    <col min="4" max="4" width="29.6640625" customWidth="1"/>
    <col min="5" max="5" width="33.5" customWidth="1"/>
  </cols>
  <sheetData>
    <row r="1" spans="1:33" ht="17">
      <c r="A1" s="10" t="s">
        <v>108</v>
      </c>
      <c r="B1" s="14" t="s">
        <v>203</v>
      </c>
      <c r="C1" s="10" t="s">
        <v>109</v>
      </c>
      <c r="D1" s="10" t="s">
        <v>110</v>
      </c>
      <c r="E1" s="10" t="s">
        <v>111</v>
      </c>
      <c r="F1" s="10" t="s">
        <v>112</v>
      </c>
      <c r="G1" s="10" t="s">
        <v>113</v>
      </c>
      <c r="H1" s="10" t="s">
        <v>114</v>
      </c>
      <c r="I1" s="10" t="s">
        <v>115</v>
      </c>
      <c r="J1" s="10" t="s">
        <v>116</v>
      </c>
      <c r="K1" s="10" t="s">
        <v>117</v>
      </c>
      <c r="L1" s="10" t="s">
        <v>118</v>
      </c>
      <c r="M1" s="10" t="s">
        <v>119</v>
      </c>
      <c r="N1" s="10" t="s">
        <v>120</v>
      </c>
      <c r="O1" s="10" t="s">
        <v>121</v>
      </c>
      <c r="P1" s="10" t="s">
        <v>122</v>
      </c>
      <c r="Q1" s="10" t="s">
        <v>123</v>
      </c>
      <c r="R1" s="10" t="s">
        <v>124</v>
      </c>
      <c r="S1" s="10" t="s">
        <v>125</v>
      </c>
      <c r="T1" s="10" t="s">
        <v>126</v>
      </c>
      <c r="U1" s="10" t="s">
        <v>127</v>
      </c>
      <c r="V1" s="10" t="s">
        <v>128</v>
      </c>
      <c r="W1" s="10" t="s">
        <v>129</v>
      </c>
      <c r="X1" s="10" t="s">
        <v>130</v>
      </c>
      <c r="Y1" s="10" t="s">
        <v>131</v>
      </c>
      <c r="Z1" s="10" t="s">
        <v>132</v>
      </c>
      <c r="AA1" s="10" t="s">
        <v>133</v>
      </c>
      <c r="AB1" s="10" t="s">
        <v>134</v>
      </c>
      <c r="AC1" s="10" t="s">
        <v>135</v>
      </c>
      <c r="AD1" s="10" t="s">
        <v>136</v>
      </c>
      <c r="AE1" s="10" t="s">
        <v>137</v>
      </c>
      <c r="AF1" s="10" t="s">
        <v>138</v>
      </c>
      <c r="AG1" s="10" t="s">
        <v>139</v>
      </c>
    </row>
    <row r="2" spans="1:33" ht="17">
      <c r="A2" s="11" t="s">
        <v>1</v>
      </c>
      <c r="B2" s="15">
        <f>SUM(C2:AF2)/30</f>
        <v>1087.8</v>
      </c>
      <c r="C2" s="12">
        <v>906</v>
      </c>
      <c r="D2" s="12">
        <v>852</v>
      </c>
      <c r="E2" s="12">
        <v>2962</v>
      </c>
      <c r="F2" s="12">
        <v>1151</v>
      </c>
      <c r="G2" s="12">
        <v>1012</v>
      </c>
      <c r="H2" s="12">
        <v>918</v>
      </c>
      <c r="I2" s="12">
        <v>1710</v>
      </c>
      <c r="J2" s="12">
        <v>1493</v>
      </c>
      <c r="K2" s="12">
        <v>1340</v>
      </c>
      <c r="L2" s="12">
        <v>1025</v>
      </c>
      <c r="M2" s="12">
        <v>1010</v>
      </c>
      <c r="N2" s="12">
        <v>1049</v>
      </c>
      <c r="O2" s="12">
        <v>969</v>
      </c>
      <c r="P2" s="12">
        <v>1101</v>
      </c>
      <c r="Q2" s="12">
        <v>1064</v>
      </c>
      <c r="R2" s="12">
        <v>933</v>
      </c>
      <c r="S2" s="12">
        <v>966</v>
      </c>
      <c r="T2" s="12">
        <v>1164</v>
      </c>
      <c r="U2" s="12">
        <v>1204</v>
      </c>
      <c r="V2" s="12">
        <v>1299</v>
      </c>
      <c r="W2" s="12">
        <v>1129</v>
      </c>
      <c r="X2" s="12">
        <v>1033</v>
      </c>
      <c r="Y2" s="12">
        <v>983</v>
      </c>
      <c r="Z2" s="12">
        <v>852</v>
      </c>
      <c r="AA2" s="12">
        <v>845</v>
      </c>
      <c r="AB2" s="12">
        <v>793</v>
      </c>
      <c r="AC2" s="12">
        <v>755</v>
      </c>
      <c r="AD2" s="12">
        <v>687</v>
      </c>
      <c r="AE2" s="12">
        <v>740</v>
      </c>
      <c r="AF2" s="12">
        <v>689</v>
      </c>
      <c r="AG2" s="12">
        <v>135</v>
      </c>
    </row>
    <row r="3" spans="1:33" ht="17">
      <c r="A3" s="11" t="s">
        <v>4</v>
      </c>
      <c r="B3" s="15">
        <f t="shared" ref="B3:B9" si="0">SUM(C3:AF3)/30</f>
        <v>39495</v>
      </c>
      <c r="C3" s="12">
        <v>44784</v>
      </c>
      <c r="D3" s="12">
        <v>40550</v>
      </c>
      <c r="E3" s="12">
        <v>43117</v>
      </c>
      <c r="F3" s="12">
        <v>38854</v>
      </c>
      <c r="G3" s="12">
        <v>39498</v>
      </c>
      <c r="H3" s="12">
        <v>42159</v>
      </c>
      <c r="I3" s="12">
        <v>41169</v>
      </c>
      <c r="J3" s="12">
        <v>39727</v>
      </c>
      <c r="K3" s="12">
        <v>39087</v>
      </c>
      <c r="L3" s="12">
        <v>36706</v>
      </c>
      <c r="M3" s="12">
        <v>38358</v>
      </c>
      <c r="N3" s="12">
        <v>39292</v>
      </c>
      <c r="O3" s="12">
        <v>39150</v>
      </c>
      <c r="P3" s="12">
        <v>39136</v>
      </c>
      <c r="Q3" s="12">
        <v>43628</v>
      </c>
      <c r="R3" s="12">
        <v>38183</v>
      </c>
      <c r="S3" s="12">
        <v>37776</v>
      </c>
      <c r="T3" s="12">
        <v>38540</v>
      </c>
      <c r="U3" s="12">
        <v>43328</v>
      </c>
      <c r="V3" s="12">
        <v>39981</v>
      </c>
      <c r="W3" s="12">
        <v>41802</v>
      </c>
      <c r="X3" s="12">
        <v>39373</v>
      </c>
      <c r="Y3" s="12">
        <v>38906</v>
      </c>
      <c r="Z3" s="12">
        <v>37067</v>
      </c>
      <c r="AA3" s="12">
        <v>39423</v>
      </c>
      <c r="AB3" s="12">
        <v>40807</v>
      </c>
      <c r="AC3" s="12">
        <v>36911</v>
      </c>
      <c r="AD3" s="12">
        <v>34697</v>
      </c>
      <c r="AE3" s="12">
        <v>36668</v>
      </c>
      <c r="AF3" s="12">
        <v>36173</v>
      </c>
      <c r="AG3" s="12">
        <v>17165</v>
      </c>
    </row>
    <row r="4" spans="1:33" ht="17">
      <c r="A4" s="10" t="s">
        <v>140</v>
      </c>
      <c r="B4" s="15">
        <f t="shared" si="0"/>
        <v>49806.400000000001</v>
      </c>
      <c r="C4" s="12">
        <v>61368</v>
      </c>
      <c r="D4" s="12">
        <v>51577</v>
      </c>
      <c r="E4" s="12">
        <v>54804</v>
      </c>
      <c r="F4" s="12">
        <v>49092</v>
      </c>
      <c r="G4" s="12">
        <v>49876</v>
      </c>
      <c r="H4" s="12">
        <v>54017</v>
      </c>
      <c r="I4" s="12">
        <v>51385</v>
      </c>
      <c r="J4" s="12">
        <v>52123</v>
      </c>
      <c r="K4" s="12">
        <v>51583</v>
      </c>
      <c r="L4" s="12">
        <v>47719</v>
      </c>
      <c r="M4" s="12">
        <v>49273</v>
      </c>
      <c r="N4" s="12">
        <v>49858</v>
      </c>
      <c r="O4" s="12">
        <v>49364</v>
      </c>
      <c r="P4" s="12">
        <v>49710</v>
      </c>
      <c r="Q4" s="12">
        <v>54423</v>
      </c>
      <c r="R4" s="12">
        <v>48902</v>
      </c>
      <c r="S4" s="12">
        <v>47838</v>
      </c>
      <c r="T4" s="12">
        <v>47917</v>
      </c>
      <c r="U4" s="12">
        <v>52816</v>
      </c>
      <c r="V4" s="12">
        <v>50344</v>
      </c>
      <c r="W4" s="12">
        <v>51449</v>
      </c>
      <c r="X4" s="12">
        <v>49018</v>
      </c>
      <c r="Y4" s="12">
        <v>48861</v>
      </c>
      <c r="Z4" s="12">
        <v>45853</v>
      </c>
      <c r="AA4" s="12">
        <v>47779</v>
      </c>
      <c r="AB4" s="12">
        <v>49857</v>
      </c>
      <c r="AC4" s="12">
        <v>44962</v>
      </c>
      <c r="AD4" s="12">
        <v>43086</v>
      </c>
      <c r="AE4" s="12">
        <v>45366</v>
      </c>
      <c r="AF4" s="12">
        <v>43972</v>
      </c>
      <c r="AG4" s="12">
        <v>15822</v>
      </c>
    </row>
    <row r="5" spans="1:33" ht="17">
      <c r="A5" s="11" t="s">
        <v>6</v>
      </c>
      <c r="B5" s="15">
        <f t="shared" si="0"/>
        <v>3972931.3333333335</v>
      </c>
      <c r="C5" s="12">
        <v>4809770</v>
      </c>
      <c r="D5" s="12">
        <v>4373149</v>
      </c>
      <c r="E5" s="12">
        <v>4337035</v>
      </c>
      <c r="F5" s="12">
        <v>4125905</v>
      </c>
      <c r="G5" s="12">
        <v>3775923</v>
      </c>
      <c r="H5" s="12">
        <v>4561972</v>
      </c>
      <c r="I5" s="12">
        <v>4426384</v>
      </c>
      <c r="J5" s="12">
        <v>4550735</v>
      </c>
      <c r="K5" s="12">
        <v>3971787</v>
      </c>
      <c r="L5" s="12">
        <v>3731632</v>
      </c>
      <c r="M5" s="12">
        <v>4061981</v>
      </c>
      <c r="N5" s="12">
        <v>3984585</v>
      </c>
      <c r="O5" s="12">
        <v>4304356</v>
      </c>
      <c r="P5" s="12">
        <v>4094068</v>
      </c>
      <c r="Q5" s="12">
        <v>4841980</v>
      </c>
      <c r="R5" s="12">
        <v>4216277</v>
      </c>
      <c r="S5" s="12">
        <v>4179488</v>
      </c>
      <c r="T5" s="12">
        <v>4108651</v>
      </c>
      <c r="U5" s="12">
        <v>4146433</v>
      </c>
      <c r="V5" s="12">
        <v>4042985</v>
      </c>
      <c r="W5" s="12">
        <v>3906133</v>
      </c>
      <c r="X5" s="12">
        <v>4008120</v>
      </c>
      <c r="Y5" s="12">
        <v>3747091</v>
      </c>
      <c r="Z5" s="12">
        <v>3288484</v>
      </c>
      <c r="AA5" s="12">
        <v>3044619</v>
      </c>
      <c r="AB5" s="12">
        <v>3166320</v>
      </c>
      <c r="AC5" s="12">
        <v>3288600</v>
      </c>
      <c r="AD5" s="12">
        <v>3414229</v>
      </c>
      <c r="AE5" s="12">
        <v>3510373</v>
      </c>
      <c r="AF5" s="12">
        <v>3168875</v>
      </c>
      <c r="AG5" s="12">
        <v>923553</v>
      </c>
    </row>
    <row r="6" spans="1:33" ht="17">
      <c r="A6" s="11" t="s">
        <v>10</v>
      </c>
      <c r="B6" s="15">
        <f t="shared" si="0"/>
        <v>473158.33333333331</v>
      </c>
      <c r="C6" s="12">
        <v>574730</v>
      </c>
      <c r="D6" s="12">
        <v>580343</v>
      </c>
      <c r="E6" s="12">
        <v>781285</v>
      </c>
      <c r="F6" s="12">
        <v>858418</v>
      </c>
      <c r="G6" s="12">
        <v>824246</v>
      </c>
      <c r="H6" s="12">
        <v>822609</v>
      </c>
      <c r="I6" s="12">
        <v>818551</v>
      </c>
      <c r="J6" s="12">
        <v>404269</v>
      </c>
      <c r="K6" s="12">
        <v>453224</v>
      </c>
      <c r="L6" s="12">
        <v>527154</v>
      </c>
      <c r="M6" s="12">
        <v>355312</v>
      </c>
      <c r="N6" s="12">
        <v>112424</v>
      </c>
      <c r="O6" s="12">
        <v>521246</v>
      </c>
      <c r="P6" s="12">
        <v>38821</v>
      </c>
      <c r="Q6" s="12">
        <v>104859</v>
      </c>
      <c r="R6" s="12">
        <v>417264</v>
      </c>
      <c r="S6" s="12">
        <v>444272</v>
      </c>
      <c r="T6" s="12">
        <v>320387</v>
      </c>
      <c r="U6" s="12">
        <v>283653</v>
      </c>
      <c r="V6" s="12">
        <v>647586</v>
      </c>
      <c r="W6" s="12">
        <v>475915</v>
      </c>
      <c r="X6" s="12">
        <v>444536</v>
      </c>
      <c r="Y6" s="12">
        <v>469674</v>
      </c>
      <c r="Z6" s="12">
        <v>304509</v>
      </c>
      <c r="AA6" s="12">
        <v>385446</v>
      </c>
      <c r="AB6" s="12">
        <v>312565</v>
      </c>
      <c r="AC6" s="12">
        <v>537350</v>
      </c>
      <c r="AD6" s="12">
        <v>572207</v>
      </c>
      <c r="AE6" s="12">
        <v>231280</v>
      </c>
      <c r="AF6" s="12">
        <v>570615</v>
      </c>
      <c r="AG6" s="12">
        <v>372198</v>
      </c>
    </row>
    <row r="7" spans="1:33" ht="17">
      <c r="A7" s="11" t="s">
        <v>12</v>
      </c>
      <c r="B7" s="15">
        <f t="shared" si="0"/>
        <v>32302760.414666664</v>
      </c>
      <c r="C7" s="12">
        <v>46870353.020000003</v>
      </c>
      <c r="D7" s="12">
        <v>41832832.640000001</v>
      </c>
      <c r="E7" s="12">
        <v>34419024.210000001</v>
      </c>
      <c r="F7" s="12">
        <v>34039701.520000003</v>
      </c>
      <c r="G7" s="12">
        <v>31886134.59</v>
      </c>
      <c r="H7" s="12">
        <v>35556851.670000002</v>
      </c>
      <c r="I7" s="12">
        <v>35920152.049999997</v>
      </c>
      <c r="J7" s="12">
        <v>37236599.340000004</v>
      </c>
      <c r="K7" s="12">
        <v>31969054.699999999</v>
      </c>
      <c r="L7" s="12">
        <v>30975831.469999999</v>
      </c>
      <c r="M7" s="12">
        <v>30672808.899999999</v>
      </c>
      <c r="N7" s="12">
        <v>31917812.440000001</v>
      </c>
      <c r="O7" s="12">
        <v>32248399.73</v>
      </c>
      <c r="P7" s="12">
        <v>31719476.600000001</v>
      </c>
      <c r="Q7" s="12">
        <v>38683060.350000001</v>
      </c>
      <c r="R7" s="12">
        <v>33253008.32</v>
      </c>
      <c r="S7" s="12">
        <v>32629546.510000002</v>
      </c>
      <c r="T7" s="12">
        <v>31568435.93</v>
      </c>
      <c r="U7" s="12">
        <v>31419582.68</v>
      </c>
      <c r="V7" s="12">
        <v>30808327.43</v>
      </c>
      <c r="W7" s="12">
        <v>30182004.34</v>
      </c>
      <c r="X7" s="12">
        <v>32500431.039999999</v>
      </c>
      <c r="Y7" s="12">
        <v>29577169.890000001</v>
      </c>
      <c r="Z7" s="12">
        <v>28455746.710000001</v>
      </c>
      <c r="AA7" s="12">
        <v>26283884.5</v>
      </c>
      <c r="AB7" s="12">
        <v>27927939.559999999</v>
      </c>
      <c r="AC7" s="12">
        <v>25722283.710000001</v>
      </c>
      <c r="AD7" s="12">
        <v>25864632.440000001</v>
      </c>
      <c r="AE7" s="12">
        <v>30906499.399999999</v>
      </c>
      <c r="AF7" s="12">
        <v>26035226.75</v>
      </c>
      <c r="AG7" s="12">
        <v>7602391.6500000004</v>
      </c>
    </row>
    <row r="8" spans="1:33" ht="17">
      <c r="A8" s="11" t="s">
        <v>14</v>
      </c>
      <c r="B8" s="15">
        <f t="shared" si="0"/>
        <v>555.36666666666667</v>
      </c>
      <c r="C8" s="12">
        <v>509</v>
      </c>
      <c r="D8" s="12">
        <v>513</v>
      </c>
      <c r="E8" s="12">
        <v>613</v>
      </c>
      <c r="F8" s="12">
        <v>586</v>
      </c>
      <c r="G8" s="12">
        <v>536</v>
      </c>
      <c r="H8" s="12">
        <v>544</v>
      </c>
      <c r="I8" s="12">
        <v>543</v>
      </c>
      <c r="J8" s="12">
        <v>658</v>
      </c>
      <c r="K8" s="12">
        <v>633</v>
      </c>
      <c r="L8" s="12">
        <v>540</v>
      </c>
      <c r="M8" s="12">
        <v>567</v>
      </c>
      <c r="N8" s="12">
        <v>575</v>
      </c>
      <c r="O8" s="12">
        <v>573</v>
      </c>
      <c r="P8" s="12">
        <v>589</v>
      </c>
      <c r="Q8" s="12">
        <v>586</v>
      </c>
      <c r="R8" s="12">
        <v>571</v>
      </c>
      <c r="S8" s="12">
        <v>542</v>
      </c>
      <c r="T8" s="12">
        <v>673</v>
      </c>
      <c r="U8" s="12">
        <v>611</v>
      </c>
      <c r="V8" s="12">
        <v>638</v>
      </c>
      <c r="W8" s="12">
        <v>622</v>
      </c>
      <c r="X8" s="12">
        <v>532</v>
      </c>
      <c r="Y8" s="12">
        <v>587</v>
      </c>
      <c r="Z8" s="12">
        <v>515</v>
      </c>
      <c r="AA8" s="12">
        <v>482</v>
      </c>
      <c r="AB8" s="12">
        <v>524</v>
      </c>
      <c r="AC8" s="12">
        <v>477</v>
      </c>
      <c r="AD8" s="12">
        <v>443</v>
      </c>
      <c r="AE8" s="12">
        <v>446</v>
      </c>
      <c r="AF8" s="12">
        <v>433</v>
      </c>
      <c r="AG8" s="12">
        <v>89</v>
      </c>
    </row>
    <row r="9" spans="1:33" ht="17">
      <c r="A9" s="11" t="s">
        <v>15</v>
      </c>
      <c r="B9" s="15">
        <f t="shared" si="0"/>
        <v>6303.1333333333332</v>
      </c>
      <c r="C9" s="12">
        <v>10633</v>
      </c>
      <c r="D9" s="12">
        <v>7418</v>
      </c>
      <c r="E9" s="12">
        <v>6669</v>
      </c>
      <c r="F9" s="12">
        <v>6239</v>
      </c>
      <c r="G9" s="12">
        <v>6712</v>
      </c>
      <c r="H9" s="12">
        <v>6284</v>
      </c>
      <c r="I9" s="12">
        <v>6355</v>
      </c>
      <c r="J9" s="12">
        <v>8508</v>
      </c>
      <c r="K9" s="12">
        <v>6265</v>
      </c>
      <c r="L9" s="12">
        <v>5954</v>
      </c>
      <c r="M9" s="12">
        <v>6079</v>
      </c>
      <c r="N9" s="12">
        <v>6743</v>
      </c>
      <c r="O9" s="12">
        <v>6221</v>
      </c>
      <c r="P9" s="12">
        <v>5719</v>
      </c>
      <c r="Q9" s="12">
        <v>7822</v>
      </c>
      <c r="R9" s="12">
        <v>5745</v>
      </c>
      <c r="S9" s="12">
        <v>5642</v>
      </c>
      <c r="T9" s="12">
        <v>5641</v>
      </c>
      <c r="U9" s="12">
        <v>6429</v>
      </c>
      <c r="V9" s="12">
        <v>5907</v>
      </c>
      <c r="W9" s="12">
        <v>5614</v>
      </c>
      <c r="X9" s="12">
        <v>7441</v>
      </c>
      <c r="Y9" s="12">
        <v>5561</v>
      </c>
      <c r="Z9" s="12">
        <v>5313</v>
      </c>
      <c r="AA9" s="12">
        <v>5025</v>
      </c>
      <c r="AB9" s="12">
        <v>5928</v>
      </c>
      <c r="AC9" s="12">
        <v>5254</v>
      </c>
      <c r="AD9" s="12">
        <v>4809</v>
      </c>
      <c r="AE9" s="12">
        <v>6418</v>
      </c>
      <c r="AF9" s="12">
        <v>4746</v>
      </c>
      <c r="AG9" s="12">
        <v>1547</v>
      </c>
    </row>
    <row r="10" spans="1:33" ht="17">
      <c r="A10" s="30" t="s">
        <v>204</v>
      </c>
      <c r="B10" s="30">
        <f>B5/B9</f>
        <v>630.31053338551203</v>
      </c>
      <c r="C10" s="12">
        <f>C5/C9</f>
        <v>452.34364713627389</v>
      </c>
      <c r="D10" s="12">
        <f t="shared" ref="D10:AC10" si="1">D5/D9</f>
        <v>589.53208411970877</v>
      </c>
      <c r="E10" s="12">
        <f t="shared" si="1"/>
        <v>650.32763532763533</v>
      </c>
      <c r="F10" s="12">
        <f t="shared" si="1"/>
        <v>661.30870331783944</v>
      </c>
      <c r="G10" s="12">
        <f t="shared" si="1"/>
        <v>562.563021454112</v>
      </c>
      <c r="H10" s="12">
        <f t="shared" si="1"/>
        <v>725.96626352641624</v>
      </c>
      <c r="I10" s="12">
        <f t="shared" si="1"/>
        <v>696.51990558615262</v>
      </c>
      <c r="J10" s="12">
        <f t="shared" si="1"/>
        <v>534.87717442407143</v>
      </c>
      <c r="K10" s="12">
        <f t="shared" si="1"/>
        <v>633.9644054269753</v>
      </c>
      <c r="L10" s="12">
        <f t="shared" si="1"/>
        <v>626.74370171313399</v>
      </c>
      <c r="M10" s="12">
        <f t="shared" si="1"/>
        <v>668.19888139496629</v>
      </c>
      <c r="N10" s="12">
        <f t="shared" si="1"/>
        <v>590.92169657422517</v>
      </c>
      <c r="O10" s="12">
        <f t="shared" si="1"/>
        <v>691.90741038418264</v>
      </c>
      <c r="P10" s="12">
        <f t="shared" si="1"/>
        <v>715.8713061724078</v>
      </c>
      <c r="Q10" s="12">
        <f t="shared" si="1"/>
        <v>619.02071081564816</v>
      </c>
      <c r="R10" s="12">
        <f t="shared" si="1"/>
        <v>733.90374238468235</v>
      </c>
      <c r="S10" s="12">
        <f t="shared" si="1"/>
        <v>740.78128323289616</v>
      </c>
      <c r="T10" s="12">
        <f t="shared" si="1"/>
        <v>728.35507888672225</v>
      </c>
      <c r="U10" s="12">
        <f t="shared" si="1"/>
        <v>644.95769170944163</v>
      </c>
      <c r="V10" s="12">
        <f t="shared" si="1"/>
        <v>684.4396478754021</v>
      </c>
      <c r="W10" s="12">
        <f t="shared" si="1"/>
        <v>695.78428927680795</v>
      </c>
      <c r="X10" s="12">
        <f t="shared" si="1"/>
        <v>538.65340680016129</v>
      </c>
      <c r="Y10" s="12">
        <f t="shared" si="1"/>
        <v>673.81604028052504</v>
      </c>
      <c r="Z10" s="12">
        <f t="shared" si="1"/>
        <v>618.95049877658573</v>
      </c>
      <c r="AA10" s="12">
        <f t="shared" si="1"/>
        <v>605.89432835820901</v>
      </c>
      <c r="AB10" s="12">
        <f t="shared" si="1"/>
        <v>534.12955465587049</v>
      </c>
      <c r="AC10" s="12">
        <f t="shared" si="1"/>
        <v>625.92310620479634</v>
      </c>
      <c r="AD10" s="12"/>
      <c r="AE10" s="12"/>
      <c r="AF10" s="12"/>
      <c r="AG10" s="12"/>
    </row>
    <row r="11" spans="1:33" ht="17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ht="17">
      <c r="A14" s="13"/>
      <c r="B14" s="14" t="s">
        <v>203</v>
      </c>
      <c r="C14" s="12" t="s">
        <v>141</v>
      </c>
      <c r="D14" s="12" t="s">
        <v>142</v>
      </c>
      <c r="E14" s="12" t="s">
        <v>143</v>
      </c>
      <c r="F14" s="12" t="s">
        <v>144</v>
      </c>
      <c r="G14" s="12" t="s">
        <v>145</v>
      </c>
      <c r="H14" s="12" t="s">
        <v>146</v>
      </c>
      <c r="I14" s="12" t="s">
        <v>147</v>
      </c>
      <c r="J14" s="12" t="s">
        <v>148</v>
      </c>
      <c r="K14" s="12" t="s">
        <v>149</v>
      </c>
      <c r="L14" s="12" t="s">
        <v>150</v>
      </c>
      <c r="M14" s="12" t="s">
        <v>151</v>
      </c>
      <c r="N14" s="12" t="s">
        <v>152</v>
      </c>
      <c r="O14" s="12" t="s">
        <v>153</v>
      </c>
      <c r="P14" s="12" t="s">
        <v>154</v>
      </c>
      <c r="Q14" s="12" t="s">
        <v>155</v>
      </c>
      <c r="R14" s="12" t="s">
        <v>156</v>
      </c>
      <c r="S14" s="12" t="s">
        <v>157</v>
      </c>
      <c r="T14" s="12" t="s">
        <v>158</v>
      </c>
      <c r="U14" s="12" t="s">
        <v>159</v>
      </c>
      <c r="V14" s="12" t="s">
        <v>160</v>
      </c>
      <c r="W14" s="12" t="s">
        <v>161</v>
      </c>
      <c r="X14" s="12" t="s">
        <v>162</v>
      </c>
      <c r="Y14" s="12" t="s">
        <v>163</v>
      </c>
      <c r="Z14" s="12" t="s">
        <v>164</v>
      </c>
      <c r="AA14" s="12" t="s">
        <v>165</v>
      </c>
      <c r="AB14" s="12" t="s">
        <v>166</v>
      </c>
      <c r="AC14" s="12" t="s">
        <v>167</v>
      </c>
      <c r="AD14" s="12" t="s">
        <v>168</v>
      </c>
      <c r="AE14" s="12" t="s">
        <v>169</v>
      </c>
      <c r="AF14" s="12" t="s">
        <v>170</v>
      </c>
      <c r="AG14" s="12" t="s">
        <v>171</v>
      </c>
    </row>
    <row r="15" spans="1:33" ht="17">
      <c r="A15" s="11" t="s">
        <v>1</v>
      </c>
      <c r="B15" s="15">
        <f>SUM(C15:AF15)/30</f>
        <v>1715.7333333333333</v>
      </c>
      <c r="C15" s="12">
        <v>4154</v>
      </c>
      <c r="D15" s="12">
        <v>1915</v>
      </c>
      <c r="E15" s="12">
        <v>2816</v>
      </c>
      <c r="F15" s="12">
        <v>3122</v>
      </c>
      <c r="G15" s="12">
        <v>3410</v>
      </c>
      <c r="H15" s="12">
        <v>4387</v>
      </c>
      <c r="I15" s="12">
        <v>3763</v>
      </c>
      <c r="J15" s="12">
        <v>2367</v>
      </c>
      <c r="K15" s="12">
        <v>1599</v>
      </c>
      <c r="L15" s="12">
        <v>1659</v>
      </c>
      <c r="M15" s="12">
        <v>1474</v>
      </c>
      <c r="N15" s="12">
        <v>1320</v>
      </c>
      <c r="O15" s="12">
        <v>1395</v>
      </c>
      <c r="P15" s="12">
        <v>1422</v>
      </c>
      <c r="Q15" s="12">
        <v>1439</v>
      </c>
      <c r="R15" s="12">
        <v>1666</v>
      </c>
      <c r="S15" s="12">
        <v>1431</v>
      </c>
      <c r="T15" s="12">
        <v>843</v>
      </c>
      <c r="U15" s="12">
        <v>1006</v>
      </c>
      <c r="V15" s="12">
        <v>969</v>
      </c>
      <c r="W15" s="12">
        <v>1049</v>
      </c>
      <c r="X15" s="12">
        <v>1049</v>
      </c>
      <c r="Y15" s="12">
        <v>938</v>
      </c>
      <c r="Z15" s="12">
        <v>1021</v>
      </c>
      <c r="AA15" s="12">
        <v>905</v>
      </c>
      <c r="AB15" s="12">
        <v>945</v>
      </c>
      <c r="AC15" s="12">
        <v>845</v>
      </c>
      <c r="AD15" s="12">
        <v>893</v>
      </c>
      <c r="AE15" s="12">
        <v>874</v>
      </c>
      <c r="AF15" s="12">
        <v>796</v>
      </c>
      <c r="AG15" s="13"/>
    </row>
    <row r="16" spans="1:33" ht="17">
      <c r="A16" s="11" t="s">
        <v>4</v>
      </c>
      <c r="B16" s="15">
        <f t="shared" ref="B16:B22" si="2">SUM(C16:AF16)/30</f>
        <v>44218.033333333333</v>
      </c>
      <c r="C16" s="12">
        <v>52573</v>
      </c>
      <c r="D16" s="12">
        <v>45843</v>
      </c>
      <c r="E16" s="12">
        <v>47741</v>
      </c>
      <c r="F16" s="12">
        <v>47128</v>
      </c>
      <c r="G16" s="12">
        <v>46452</v>
      </c>
      <c r="H16" s="12">
        <v>46242</v>
      </c>
      <c r="I16" s="12">
        <v>46935</v>
      </c>
      <c r="J16" s="12">
        <v>44835</v>
      </c>
      <c r="K16" s="12">
        <v>44307</v>
      </c>
      <c r="L16" s="12">
        <v>43751</v>
      </c>
      <c r="M16" s="12">
        <v>43028</v>
      </c>
      <c r="N16" s="12">
        <v>40782</v>
      </c>
      <c r="O16" s="12">
        <v>41512</v>
      </c>
      <c r="P16" s="12">
        <v>39766</v>
      </c>
      <c r="Q16" s="12">
        <v>45516</v>
      </c>
      <c r="R16" s="12">
        <v>45065</v>
      </c>
      <c r="S16" s="12">
        <v>43058</v>
      </c>
      <c r="T16" s="12">
        <v>45447</v>
      </c>
      <c r="U16" s="12">
        <v>47133</v>
      </c>
      <c r="V16" s="12">
        <v>43318</v>
      </c>
      <c r="W16" s="12">
        <v>42553</v>
      </c>
      <c r="X16" s="12">
        <v>42176</v>
      </c>
      <c r="Y16" s="12">
        <v>41796</v>
      </c>
      <c r="Z16" s="12">
        <v>41972</v>
      </c>
      <c r="AA16" s="12">
        <v>41184</v>
      </c>
      <c r="AB16" s="12">
        <v>47161</v>
      </c>
      <c r="AC16" s="12">
        <v>43977</v>
      </c>
      <c r="AD16" s="12">
        <v>42264</v>
      </c>
      <c r="AE16" s="12">
        <v>41977</v>
      </c>
      <c r="AF16" s="12">
        <v>41049</v>
      </c>
      <c r="AG16" s="13"/>
    </row>
    <row r="17" spans="1:33" ht="17">
      <c r="A17" s="10" t="s">
        <v>140</v>
      </c>
      <c r="B17" s="15">
        <f t="shared" si="2"/>
        <v>58097.26666666667</v>
      </c>
      <c r="C17" s="12">
        <v>75376</v>
      </c>
      <c r="D17" s="12">
        <v>63908</v>
      </c>
      <c r="E17" s="12">
        <v>64393</v>
      </c>
      <c r="F17" s="12">
        <v>63341</v>
      </c>
      <c r="G17" s="12">
        <v>61617</v>
      </c>
      <c r="H17" s="12">
        <v>62680</v>
      </c>
      <c r="I17" s="12">
        <v>62019</v>
      </c>
      <c r="J17" s="12">
        <v>59509</v>
      </c>
      <c r="K17" s="12">
        <v>58274</v>
      </c>
      <c r="L17" s="12">
        <v>58890</v>
      </c>
      <c r="M17" s="12">
        <v>56556</v>
      </c>
      <c r="N17" s="12">
        <v>53727</v>
      </c>
      <c r="O17" s="12">
        <v>56254</v>
      </c>
      <c r="P17" s="12">
        <v>52609</v>
      </c>
      <c r="Q17" s="12">
        <v>58824</v>
      </c>
      <c r="R17" s="12">
        <v>58662</v>
      </c>
      <c r="S17" s="12">
        <v>56586</v>
      </c>
      <c r="T17" s="12">
        <v>58379</v>
      </c>
      <c r="U17" s="12">
        <v>59595</v>
      </c>
      <c r="V17" s="12">
        <v>58518</v>
      </c>
      <c r="W17" s="12">
        <v>56520</v>
      </c>
      <c r="X17" s="12">
        <v>54489</v>
      </c>
      <c r="Y17" s="12">
        <v>53761</v>
      </c>
      <c r="Z17" s="12">
        <v>53648</v>
      </c>
      <c r="AA17" s="12">
        <v>52099</v>
      </c>
      <c r="AB17" s="12">
        <v>58584</v>
      </c>
      <c r="AC17" s="12">
        <v>56095</v>
      </c>
      <c r="AD17" s="12">
        <v>53883</v>
      </c>
      <c r="AE17" s="12">
        <v>52662</v>
      </c>
      <c r="AF17" s="12">
        <v>51460</v>
      </c>
      <c r="AG17" s="13"/>
    </row>
    <row r="18" spans="1:33" ht="17">
      <c r="A18" s="11" t="s">
        <v>6</v>
      </c>
      <c r="B18" s="15">
        <f t="shared" si="2"/>
        <v>4337241.3666666662</v>
      </c>
      <c r="C18" s="12">
        <v>4362297.62</v>
      </c>
      <c r="D18" s="12">
        <v>4464009</v>
      </c>
      <c r="E18" s="12">
        <v>4833773.38</v>
      </c>
      <c r="F18" s="12">
        <v>4662652</v>
      </c>
      <c r="G18" s="12">
        <v>4429531</v>
      </c>
      <c r="H18" s="12">
        <v>4777562</v>
      </c>
      <c r="I18" s="12">
        <v>4834606</v>
      </c>
      <c r="J18" s="12">
        <v>4740456</v>
      </c>
      <c r="K18" s="12">
        <v>5274581</v>
      </c>
      <c r="L18" s="12">
        <v>4704337</v>
      </c>
      <c r="M18" s="12">
        <v>4935780</v>
      </c>
      <c r="N18" s="12">
        <v>4837420</v>
      </c>
      <c r="O18" s="12">
        <v>4388647</v>
      </c>
      <c r="P18" s="12">
        <v>4309582</v>
      </c>
      <c r="Q18" s="12">
        <v>4334406</v>
      </c>
      <c r="R18" s="12">
        <v>4467743</v>
      </c>
      <c r="S18" s="12">
        <v>4405653</v>
      </c>
      <c r="T18" s="12">
        <v>3572924</v>
      </c>
      <c r="U18" s="12">
        <v>3808805</v>
      </c>
      <c r="V18" s="12">
        <v>4308058</v>
      </c>
      <c r="W18" s="12">
        <v>3729052</v>
      </c>
      <c r="X18" s="12">
        <v>3901477</v>
      </c>
      <c r="Y18" s="12">
        <v>3654143</v>
      </c>
      <c r="Z18" s="12">
        <v>3865955</v>
      </c>
      <c r="AA18" s="12">
        <v>3642720</v>
      </c>
      <c r="AB18" s="12">
        <v>3958608</v>
      </c>
      <c r="AC18" s="12">
        <v>4475069</v>
      </c>
      <c r="AD18" s="12">
        <v>4146435</v>
      </c>
      <c r="AE18" s="12">
        <v>4059709</v>
      </c>
      <c r="AF18" s="12">
        <v>4231250</v>
      </c>
      <c r="AG18" s="13"/>
    </row>
    <row r="19" spans="1:33" ht="17">
      <c r="A19" s="11" t="s">
        <v>10</v>
      </c>
      <c r="B19" s="15">
        <f t="shared" si="2"/>
        <v>760065.73333333328</v>
      </c>
      <c r="C19" s="12">
        <v>647469.62</v>
      </c>
      <c r="D19" s="12">
        <v>833597</v>
      </c>
      <c r="E19" s="12">
        <v>940272.38</v>
      </c>
      <c r="F19" s="12">
        <v>1076987</v>
      </c>
      <c r="G19" s="12">
        <v>1024731</v>
      </c>
      <c r="H19" s="12">
        <v>502677</v>
      </c>
      <c r="I19" s="12">
        <v>1156934</v>
      </c>
      <c r="J19" s="12">
        <v>750366</v>
      </c>
      <c r="K19" s="12">
        <v>1490889</v>
      </c>
      <c r="L19" s="12">
        <v>1154820</v>
      </c>
      <c r="M19" s="12">
        <v>1096395</v>
      </c>
      <c r="N19" s="12">
        <v>474011</v>
      </c>
      <c r="O19" s="12">
        <v>503988</v>
      </c>
      <c r="P19" s="12">
        <v>1209443</v>
      </c>
      <c r="Q19" s="12">
        <v>410379</v>
      </c>
      <c r="R19" s="12">
        <v>698787</v>
      </c>
      <c r="S19" s="12">
        <v>861911</v>
      </c>
      <c r="T19" s="12">
        <v>517799</v>
      </c>
      <c r="U19" s="12">
        <v>291456</v>
      </c>
      <c r="V19" s="12">
        <v>472515</v>
      </c>
      <c r="W19" s="12">
        <v>612684</v>
      </c>
      <c r="X19" s="12">
        <v>931613</v>
      </c>
      <c r="Y19" s="12">
        <v>836798</v>
      </c>
      <c r="Z19" s="12">
        <v>902929</v>
      </c>
      <c r="AA19" s="12">
        <v>732353</v>
      </c>
      <c r="AB19" s="12">
        <v>200639</v>
      </c>
      <c r="AC19" s="12">
        <v>492684</v>
      </c>
      <c r="AD19" s="12">
        <v>571249</v>
      </c>
      <c r="AE19" s="12">
        <v>835137</v>
      </c>
      <c r="AF19" s="12">
        <v>570459</v>
      </c>
      <c r="AG19" s="13"/>
    </row>
    <row r="20" spans="1:33" ht="17">
      <c r="A20" s="11" t="s">
        <v>12</v>
      </c>
      <c r="B20" s="15">
        <f t="shared" si="2"/>
        <v>39012009.071333334</v>
      </c>
      <c r="C20" s="12">
        <v>38474376.289999999</v>
      </c>
      <c r="D20" s="12">
        <v>42274662.600000001</v>
      </c>
      <c r="E20" s="12">
        <v>45940592.450000003</v>
      </c>
      <c r="F20" s="12">
        <v>35938738.409999996</v>
      </c>
      <c r="G20" s="12">
        <v>38432624.369999997</v>
      </c>
      <c r="H20" s="12">
        <v>45766046.710000001</v>
      </c>
      <c r="I20" s="12">
        <v>44213109.710000001</v>
      </c>
      <c r="J20" s="12">
        <v>44071476.829999998</v>
      </c>
      <c r="K20" s="12">
        <v>42176025.229999997</v>
      </c>
      <c r="L20" s="12">
        <v>39047752.380000003</v>
      </c>
      <c r="M20" s="12">
        <v>41049007.939999998</v>
      </c>
      <c r="N20" s="12">
        <v>38774763.039999999</v>
      </c>
      <c r="O20" s="12">
        <v>42013994.659999996</v>
      </c>
      <c r="P20" s="12">
        <v>35039320.590000004</v>
      </c>
      <c r="Q20" s="12">
        <v>42265085.299999997</v>
      </c>
      <c r="R20" s="12">
        <v>40045969.140000001</v>
      </c>
      <c r="S20" s="12">
        <v>39511926.560000002</v>
      </c>
      <c r="T20" s="12">
        <v>32995889.23</v>
      </c>
      <c r="U20" s="12">
        <v>36574433.939999998</v>
      </c>
      <c r="V20" s="12">
        <v>38548524.920000002</v>
      </c>
      <c r="W20" s="12">
        <v>40020129.969999999</v>
      </c>
      <c r="X20" s="12">
        <v>37807166.219999999</v>
      </c>
      <c r="Y20" s="12">
        <v>34034111.229999997</v>
      </c>
      <c r="Z20" s="12">
        <v>35987098.149999999</v>
      </c>
      <c r="AA20" s="12">
        <v>32783794.219999999</v>
      </c>
      <c r="AB20" s="12">
        <v>36297742.079999998</v>
      </c>
      <c r="AC20" s="12">
        <v>41708039.020000003</v>
      </c>
      <c r="AD20" s="12">
        <v>36684450.640000001</v>
      </c>
      <c r="AE20" s="12">
        <v>36023779.5</v>
      </c>
      <c r="AF20" s="12">
        <v>35859640.810000002</v>
      </c>
      <c r="AG20" s="13"/>
    </row>
    <row r="21" spans="1:33" ht="17">
      <c r="A21" s="11" t="s">
        <v>14</v>
      </c>
      <c r="B21" s="15">
        <f t="shared" si="2"/>
        <v>867.4666666666667</v>
      </c>
      <c r="C21" s="12">
        <v>1270</v>
      </c>
      <c r="D21" s="12">
        <v>1106</v>
      </c>
      <c r="E21" s="12">
        <v>1383</v>
      </c>
      <c r="F21" s="12">
        <v>1341</v>
      </c>
      <c r="G21" s="12">
        <v>1400</v>
      </c>
      <c r="H21" s="12">
        <v>1624</v>
      </c>
      <c r="I21" s="12">
        <v>1625</v>
      </c>
      <c r="J21" s="12">
        <v>1316</v>
      </c>
      <c r="K21" s="12">
        <v>1000</v>
      </c>
      <c r="L21" s="12">
        <v>945</v>
      </c>
      <c r="M21" s="12">
        <v>861</v>
      </c>
      <c r="N21" s="12">
        <v>812</v>
      </c>
      <c r="O21" s="12">
        <v>750</v>
      </c>
      <c r="P21" s="12">
        <v>876</v>
      </c>
      <c r="Q21" s="12">
        <v>862</v>
      </c>
      <c r="R21" s="12">
        <v>909</v>
      </c>
      <c r="S21" s="12">
        <v>809</v>
      </c>
      <c r="T21" s="12">
        <v>511</v>
      </c>
      <c r="U21" s="12">
        <v>574</v>
      </c>
      <c r="V21" s="12">
        <v>633</v>
      </c>
      <c r="W21" s="12">
        <v>604</v>
      </c>
      <c r="X21" s="12">
        <v>612</v>
      </c>
      <c r="Y21" s="12">
        <v>587</v>
      </c>
      <c r="Z21" s="12">
        <v>558</v>
      </c>
      <c r="AA21" s="12">
        <v>482</v>
      </c>
      <c r="AB21" s="12">
        <v>527</v>
      </c>
      <c r="AC21" s="12">
        <v>485</v>
      </c>
      <c r="AD21" s="12">
        <v>549</v>
      </c>
      <c r="AE21" s="12">
        <v>494</v>
      </c>
      <c r="AF21" s="12">
        <v>519</v>
      </c>
      <c r="AG21" s="13"/>
    </row>
    <row r="22" spans="1:33" ht="17">
      <c r="A22" s="11" t="s">
        <v>15</v>
      </c>
      <c r="B22" s="15">
        <f t="shared" si="2"/>
        <v>7283</v>
      </c>
      <c r="C22" s="12">
        <v>8630</v>
      </c>
      <c r="D22" s="12">
        <v>8396</v>
      </c>
      <c r="E22" s="12">
        <v>9138</v>
      </c>
      <c r="F22" s="12">
        <v>8021</v>
      </c>
      <c r="G22" s="12">
        <v>7815</v>
      </c>
      <c r="H22" s="12">
        <v>9966</v>
      </c>
      <c r="I22" s="12">
        <v>8106</v>
      </c>
      <c r="J22" s="12">
        <v>8020</v>
      </c>
      <c r="K22" s="12">
        <v>7563</v>
      </c>
      <c r="L22" s="12">
        <v>7702</v>
      </c>
      <c r="M22" s="12">
        <v>7368</v>
      </c>
      <c r="N22" s="12">
        <v>7112</v>
      </c>
      <c r="O22" s="12">
        <v>8613</v>
      </c>
      <c r="P22" s="12">
        <v>6794</v>
      </c>
      <c r="Q22" s="12">
        <v>6998</v>
      </c>
      <c r="R22" s="12">
        <v>7442</v>
      </c>
      <c r="S22" s="12">
        <v>7521</v>
      </c>
      <c r="T22" s="12">
        <v>6424</v>
      </c>
      <c r="U22" s="12">
        <v>6643</v>
      </c>
      <c r="V22" s="12">
        <v>8956</v>
      </c>
      <c r="W22" s="12">
        <v>6474</v>
      </c>
      <c r="X22" s="12">
        <v>6193</v>
      </c>
      <c r="Y22" s="12">
        <v>5753</v>
      </c>
      <c r="Z22" s="12">
        <v>6261</v>
      </c>
      <c r="AA22" s="12">
        <v>5659</v>
      </c>
      <c r="AB22" s="12">
        <v>6107</v>
      </c>
      <c r="AC22" s="12">
        <v>7493</v>
      </c>
      <c r="AD22" s="12">
        <v>6142</v>
      </c>
      <c r="AE22" s="12">
        <v>5600</v>
      </c>
      <c r="AF22" s="12">
        <v>5580</v>
      </c>
      <c r="AG22" s="13"/>
    </row>
    <row r="23" spans="1:3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7">
      <c r="A26" s="13"/>
      <c r="B26" s="14" t="s">
        <v>203</v>
      </c>
      <c r="C26" s="12" t="s">
        <v>172</v>
      </c>
      <c r="D26" s="12" t="s">
        <v>173</v>
      </c>
      <c r="E26" s="12" t="s">
        <v>174</v>
      </c>
      <c r="F26" s="12" t="s">
        <v>175</v>
      </c>
      <c r="G26" s="12" t="s">
        <v>176</v>
      </c>
      <c r="H26" s="12" t="s">
        <v>177</v>
      </c>
      <c r="I26" s="12" t="s">
        <v>178</v>
      </c>
      <c r="J26" s="12" t="s">
        <v>179</v>
      </c>
      <c r="K26" s="12" t="s">
        <v>180</v>
      </c>
      <c r="L26" s="12" t="s">
        <v>181</v>
      </c>
      <c r="M26" s="12" t="s">
        <v>182</v>
      </c>
      <c r="N26" s="12" t="s">
        <v>183</v>
      </c>
      <c r="O26" s="12" t="s">
        <v>184</v>
      </c>
      <c r="P26" s="12" t="s">
        <v>185</v>
      </c>
      <c r="Q26" s="12" t="s">
        <v>186</v>
      </c>
      <c r="R26" s="12" t="s">
        <v>187</v>
      </c>
      <c r="S26" s="12" t="s">
        <v>188</v>
      </c>
      <c r="T26" s="12" t="s">
        <v>189</v>
      </c>
      <c r="U26" s="12" t="s">
        <v>190</v>
      </c>
      <c r="V26" s="12" t="s">
        <v>191</v>
      </c>
      <c r="W26" s="12" t="s">
        <v>192</v>
      </c>
      <c r="X26" s="12" t="s">
        <v>193</v>
      </c>
      <c r="Y26" s="12" t="s">
        <v>194</v>
      </c>
      <c r="Z26" s="12" t="s">
        <v>195</v>
      </c>
      <c r="AA26" s="12" t="s">
        <v>196</v>
      </c>
      <c r="AB26" s="12" t="s">
        <v>197</v>
      </c>
      <c r="AC26" s="12" t="s">
        <v>198</v>
      </c>
      <c r="AD26" s="12" t="s">
        <v>199</v>
      </c>
      <c r="AE26" s="12" t="s">
        <v>200</v>
      </c>
      <c r="AF26" s="12" t="s">
        <v>201</v>
      </c>
      <c r="AG26" s="12" t="s">
        <v>202</v>
      </c>
    </row>
    <row r="27" spans="1:33" ht="17">
      <c r="A27" s="11" t="s">
        <v>1</v>
      </c>
      <c r="B27" s="15">
        <f>SUM(C27:AG27)/30</f>
        <v>1021.9666666666667</v>
      </c>
      <c r="C27" s="12">
        <v>867</v>
      </c>
      <c r="D27" s="12">
        <v>990</v>
      </c>
      <c r="E27" s="12">
        <v>960</v>
      </c>
      <c r="F27" s="12">
        <v>1829</v>
      </c>
      <c r="G27" s="12">
        <v>1176</v>
      </c>
      <c r="H27" s="12">
        <v>1002</v>
      </c>
      <c r="I27" s="12">
        <v>1030</v>
      </c>
      <c r="J27" s="12">
        <v>983</v>
      </c>
      <c r="K27" s="12">
        <v>1004</v>
      </c>
      <c r="L27" s="12">
        <v>1026</v>
      </c>
      <c r="M27" s="12">
        <v>975</v>
      </c>
      <c r="N27" s="12">
        <v>876</v>
      </c>
      <c r="O27" s="12">
        <v>903</v>
      </c>
      <c r="P27" s="12">
        <v>886</v>
      </c>
      <c r="Q27" s="12">
        <v>784</v>
      </c>
      <c r="R27" s="12">
        <v>878</v>
      </c>
      <c r="S27" s="12">
        <v>897</v>
      </c>
      <c r="T27" s="12">
        <v>849</v>
      </c>
      <c r="U27" s="12">
        <v>892</v>
      </c>
      <c r="V27" s="12">
        <v>850</v>
      </c>
      <c r="W27" s="12">
        <v>850</v>
      </c>
      <c r="X27" s="12">
        <v>1534</v>
      </c>
      <c r="Y27" s="12">
        <v>931</v>
      </c>
      <c r="Z27" s="12">
        <v>956</v>
      </c>
      <c r="AA27" s="12">
        <v>969</v>
      </c>
      <c r="AB27" s="12">
        <v>979</v>
      </c>
      <c r="AC27" s="12">
        <v>1021</v>
      </c>
      <c r="AD27" s="12">
        <v>990</v>
      </c>
      <c r="AE27" s="12">
        <v>857</v>
      </c>
      <c r="AF27" s="12">
        <v>889</v>
      </c>
      <c r="AG27" s="12">
        <v>1026</v>
      </c>
    </row>
    <row r="28" spans="1:33" ht="17">
      <c r="A28" s="11" t="s">
        <v>4</v>
      </c>
      <c r="B28" s="15">
        <f t="shared" ref="B28:B34" si="3">SUM(C28:AG28)/30</f>
        <v>42440.1</v>
      </c>
      <c r="C28" s="12">
        <v>45136</v>
      </c>
      <c r="D28" s="12">
        <v>42704</v>
      </c>
      <c r="E28" s="12">
        <v>43721</v>
      </c>
      <c r="F28" s="12">
        <v>44434</v>
      </c>
      <c r="G28" s="12">
        <v>41977</v>
      </c>
      <c r="H28" s="12">
        <v>43231</v>
      </c>
      <c r="I28" s="12">
        <v>42113</v>
      </c>
      <c r="J28" s="12">
        <v>42921</v>
      </c>
      <c r="K28" s="12">
        <v>45083</v>
      </c>
      <c r="L28" s="12">
        <v>41175</v>
      </c>
      <c r="M28" s="12">
        <v>39728</v>
      </c>
      <c r="N28" s="12">
        <v>39381</v>
      </c>
      <c r="O28" s="12">
        <v>38379</v>
      </c>
      <c r="P28" s="12">
        <v>38642</v>
      </c>
      <c r="Q28" s="12">
        <v>38028</v>
      </c>
      <c r="R28" s="12">
        <v>38270</v>
      </c>
      <c r="S28" s="12">
        <v>38898</v>
      </c>
      <c r="T28" s="12">
        <v>47077</v>
      </c>
      <c r="U28" s="12">
        <v>36583</v>
      </c>
      <c r="V28" s="12">
        <v>36181</v>
      </c>
      <c r="W28" s="12">
        <v>36161</v>
      </c>
      <c r="X28" s="12">
        <v>45310</v>
      </c>
      <c r="Y28" s="12">
        <v>38535</v>
      </c>
      <c r="Z28" s="12">
        <v>45351</v>
      </c>
      <c r="AA28" s="12">
        <v>40653</v>
      </c>
      <c r="AB28" s="12">
        <v>38899</v>
      </c>
      <c r="AC28" s="12">
        <v>38993</v>
      </c>
      <c r="AD28" s="12">
        <v>39585</v>
      </c>
      <c r="AE28" s="12">
        <v>39657</v>
      </c>
      <c r="AF28" s="12">
        <v>43799</v>
      </c>
      <c r="AG28" s="12">
        <v>42598</v>
      </c>
    </row>
    <row r="29" spans="1:33" ht="17">
      <c r="A29" s="10" t="s">
        <v>140</v>
      </c>
      <c r="B29" s="15">
        <f t="shared" si="3"/>
        <v>53398.166666666664</v>
      </c>
      <c r="C29" s="12">
        <v>61349</v>
      </c>
      <c r="D29" s="12">
        <v>56643</v>
      </c>
      <c r="E29" s="12">
        <v>56379</v>
      </c>
      <c r="F29" s="12">
        <v>57406</v>
      </c>
      <c r="G29" s="12">
        <v>53910</v>
      </c>
      <c r="H29" s="12">
        <v>54935</v>
      </c>
      <c r="I29" s="12">
        <v>53477</v>
      </c>
      <c r="J29" s="12">
        <v>55910</v>
      </c>
      <c r="K29" s="12">
        <v>57625</v>
      </c>
      <c r="L29" s="12">
        <v>52570</v>
      </c>
      <c r="M29" s="12">
        <v>52012</v>
      </c>
      <c r="N29" s="12">
        <v>50466</v>
      </c>
      <c r="O29" s="12">
        <v>49018</v>
      </c>
      <c r="P29" s="12">
        <v>48898</v>
      </c>
      <c r="Q29" s="12">
        <v>48648</v>
      </c>
      <c r="R29" s="12">
        <v>48690</v>
      </c>
      <c r="S29" s="12">
        <v>48357</v>
      </c>
      <c r="T29" s="12">
        <v>57726</v>
      </c>
      <c r="U29" s="12">
        <v>46385</v>
      </c>
      <c r="V29" s="12">
        <v>44876</v>
      </c>
      <c r="W29" s="12">
        <v>44691</v>
      </c>
      <c r="X29" s="12">
        <v>54922</v>
      </c>
      <c r="Y29" s="12">
        <v>46636</v>
      </c>
      <c r="Z29" s="12">
        <v>52020</v>
      </c>
      <c r="AA29" s="12">
        <v>50802</v>
      </c>
      <c r="AB29" s="12">
        <v>48218</v>
      </c>
      <c r="AC29" s="12">
        <v>48504</v>
      </c>
      <c r="AD29" s="12">
        <v>48113</v>
      </c>
      <c r="AE29" s="12">
        <v>48241</v>
      </c>
      <c r="AF29" s="12">
        <v>52904</v>
      </c>
      <c r="AG29" s="12">
        <v>51614</v>
      </c>
    </row>
    <row r="30" spans="1:33" ht="17">
      <c r="A30" s="11" t="s">
        <v>6</v>
      </c>
      <c r="B30" s="15">
        <f>SUM(C30:AG30)/31</f>
        <v>4189104.8064516131</v>
      </c>
      <c r="C30" s="12">
        <v>4519656</v>
      </c>
      <c r="D30" s="12">
        <v>4530395</v>
      </c>
      <c r="E30" s="12">
        <v>4339904</v>
      </c>
      <c r="F30" s="12">
        <v>4368731</v>
      </c>
      <c r="G30" s="12">
        <v>4189036</v>
      </c>
      <c r="H30" s="12">
        <v>4401980</v>
      </c>
      <c r="I30" s="12">
        <v>4629089</v>
      </c>
      <c r="J30" s="12">
        <v>4572668</v>
      </c>
      <c r="K30" s="12">
        <v>4685677</v>
      </c>
      <c r="L30" s="12">
        <v>4466350</v>
      </c>
      <c r="M30" s="12">
        <v>4919861</v>
      </c>
      <c r="N30" s="12">
        <v>4508051</v>
      </c>
      <c r="O30" s="12">
        <v>4271938</v>
      </c>
      <c r="P30" s="12">
        <v>4094713</v>
      </c>
      <c r="Q30" s="12">
        <v>4211520</v>
      </c>
      <c r="R30" s="12">
        <v>4033459</v>
      </c>
      <c r="S30" s="12">
        <v>4494514</v>
      </c>
      <c r="T30" s="12">
        <v>4549337</v>
      </c>
      <c r="U30" s="12">
        <v>4350990</v>
      </c>
      <c r="V30" s="12">
        <v>4154567</v>
      </c>
      <c r="W30" s="12">
        <v>3547685</v>
      </c>
      <c r="X30" s="12">
        <v>3694844</v>
      </c>
      <c r="Y30" s="12">
        <v>3663067</v>
      </c>
      <c r="Z30" s="12">
        <v>3949513</v>
      </c>
      <c r="AA30" s="12">
        <v>4319479</v>
      </c>
      <c r="AB30" s="12">
        <v>3595568</v>
      </c>
      <c r="AC30" s="12">
        <v>4023666</v>
      </c>
      <c r="AD30" s="12">
        <v>3623704</v>
      </c>
      <c r="AE30" s="12">
        <v>3659918</v>
      </c>
      <c r="AF30" s="12">
        <v>3763943</v>
      </c>
      <c r="AG30" s="12">
        <v>3728426</v>
      </c>
    </row>
    <row r="31" spans="1:33" ht="17">
      <c r="A31" s="11" t="s">
        <v>10</v>
      </c>
      <c r="B31" s="15">
        <f t="shared" si="3"/>
        <v>620548.6333333333</v>
      </c>
      <c r="C31" s="12">
        <v>253577</v>
      </c>
      <c r="D31" s="12">
        <v>540562</v>
      </c>
      <c r="E31" s="12">
        <v>674624</v>
      </c>
      <c r="F31" s="12">
        <v>408526</v>
      </c>
      <c r="G31" s="12">
        <v>842587</v>
      </c>
      <c r="H31" s="12">
        <v>305123</v>
      </c>
      <c r="I31" s="12">
        <v>914327</v>
      </c>
      <c r="J31" s="12">
        <v>842854</v>
      </c>
      <c r="K31" s="12">
        <v>833671</v>
      </c>
      <c r="L31" s="12">
        <v>873311</v>
      </c>
      <c r="M31" s="12">
        <v>571725</v>
      </c>
      <c r="N31" s="12">
        <v>507536</v>
      </c>
      <c r="O31" s="12">
        <v>404967</v>
      </c>
      <c r="P31" s="12">
        <v>680743</v>
      </c>
      <c r="Q31" s="12">
        <v>756343</v>
      </c>
      <c r="R31" s="12">
        <v>963094</v>
      </c>
      <c r="S31" s="12">
        <v>902955</v>
      </c>
      <c r="T31" s="12">
        <v>449107</v>
      </c>
      <c r="U31" s="12">
        <v>595978</v>
      </c>
      <c r="V31" s="12">
        <v>876897</v>
      </c>
      <c r="W31" s="12">
        <v>652012</v>
      </c>
      <c r="X31" s="12">
        <v>512588</v>
      </c>
      <c r="Y31" s="12">
        <v>410056</v>
      </c>
      <c r="Z31" s="12">
        <v>658533</v>
      </c>
      <c r="AA31" s="12">
        <v>276193</v>
      </c>
      <c r="AB31" s="12">
        <v>316591</v>
      </c>
      <c r="AC31" s="12">
        <v>767943</v>
      </c>
      <c r="AD31" s="12">
        <v>491582</v>
      </c>
      <c r="AE31" s="12">
        <v>699440</v>
      </c>
      <c r="AF31" s="12">
        <v>892705</v>
      </c>
      <c r="AG31" s="12">
        <v>-259691</v>
      </c>
    </row>
    <row r="32" spans="1:33" ht="17">
      <c r="A32" s="11" t="s">
        <v>12</v>
      </c>
      <c r="B32" s="15">
        <f t="shared" si="3"/>
        <v>36689541.20933333</v>
      </c>
      <c r="C32" s="12">
        <v>41092616.960000001</v>
      </c>
      <c r="D32" s="12">
        <v>39571094.130000003</v>
      </c>
      <c r="E32" s="12">
        <v>35899092</v>
      </c>
      <c r="F32" s="12">
        <v>38205318.240000002</v>
      </c>
      <c r="G32" s="12">
        <v>35795992.590000004</v>
      </c>
      <c r="H32" s="12">
        <v>37380553.969999999</v>
      </c>
      <c r="I32" s="12">
        <v>38081385.770000003</v>
      </c>
      <c r="J32" s="12">
        <v>38715774.950000003</v>
      </c>
      <c r="K32" s="12">
        <v>40187837.439999998</v>
      </c>
      <c r="L32" s="12">
        <v>37325198.289999999</v>
      </c>
      <c r="M32" s="12">
        <v>43419796.359999999</v>
      </c>
      <c r="N32" s="12">
        <v>39642560.649999999</v>
      </c>
      <c r="O32" s="12">
        <v>37187123.810000002</v>
      </c>
      <c r="P32" s="12">
        <v>33416139.870000001</v>
      </c>
      <c r="Q32" s="12">
        <v>32755418.5</v>
      </c>
      <c r="R32" s="12">
        <v>32215140.449999999</v>
      </c>
      <c r="S32" s="12">
        <v>37395186.43</v>
      </c>
      <c r="T32" s="12">
        <v>38458714.18</v>
      </c>
      <c r="U32" s="12">
        <v>35408493.990000002</v>
      </c>
      <c r="V32" s="12">
        <v>35786799.390000001</v>
      </c>
      <c r="W32" s="12">
        <v>31191229.379999999</v>
      </c>
      <c r="X32" s="12">
        <v>31111769.329999998</v>
      </c>
      <c r="Y32" s="12">
        <v>30101895.670000002</v>
      </c>
      <c r="Z32" s="12">
        <v>32558955.109999999</v>
      </c>
      <c r="AA32" s="12">
        <v>35594089.759999998</v>
      </c>
      <c r="AB32" s="12">
        <v>28511741.850000001</v>
      </c>
      <c r="AC32" s="12">
        <v>29130846.789999999</v>
      </c>
      <c r="AD32" s="12">
        <v>35093178.399999999</v>
      </c>
      <c r="AE32" s="12">
        <v>32868739.120000001</v>
      </c>
      <c r="AF32" s="12">
        <v>33568833.009999998</v>
      </c>
      <c r="AG32" s="12">
        <v>33014719.890000001</v>
      </c>
    </row>
    <row r="33" spans="1:33" ht="17">
      <c r="A33" s="11" t="s">
        <v>14</v>
      </c>
      <c r="B33" s="15">
        <f t="shared" si="3"/>
        <v>579.6</v>
      </c>
      <c r="C33" s="12">
        <v>472</v>
      </c>
      <c r="D33" s="12">
        <v>597</v>
      </c>
      <c r="E33" s="12">
        <v>540</v>
      </c>
      <c r="F33" s="12">
        <v>705</v>
      </c>
      <c r="G33" s="12">
        <v>642</v>
      </c>
      <c r="H33" s="12">
        <v>667</v>
      </c>
      <c r="I33" s="12">
        <v>624</v>
      </c>
      <c r="J33" s="12">
        <v>560</v>
      </c>
      <c r="K33" s="12">
        <v>602</v>
      </c>
      <c r="L33" s="12">
        <v>621</v>
      </c>
      <c r="M33" s="12">
        <v>614</v>
      </c>
      <c r="N33" s="12">
        <v>600</v>
      </c>
      <c r="O33" s="12">
        <v>567</v>
      </c>
      <c r="P33" s="12">
        <v>558</v>
      </c>
      <c r="Q33" s="12">
        <v>524</v>
      </c>
      <c r="R33" s="12">
        <v>537</v>
      </c>
      <c r="S33" s="12">
        <v>544</v>
      </c>
      <c r="T33" s="12">
        <v>524</v>
      </c>
      <c r="U33" s="12">
        <v>549</v>
      </c>
      <c r="V33" s="12">
        <v>530</v>
      </c>
      <c r="W33" s="12">
        <v>497</v>
      </c>
      <c r="X33" s="12">
        <v>527</v>
      </c>
      <c r="Y33" s="12">
        <v>549</v>
      </c>
      <c r="Z33" s="12">
        <v>535</v>
      </c>
      <c r="AA33" s="12">
        <v>488</v>
      </c>
      <c r="AB33" s="12">
        <v>560</v>
      </c>
      <c r="AC33" s="12">
        <v>580</v>
      </c>
      <c r="AD33" s="12">
        <v>510</v>
      </c>
      <c r="AE33" s="12">
        <v>504</v>
      </c>
      <c r="AF33" s="12">
        <v>505</v>
      </c>
      <c r="AG33" s="12">
        <v>556</v>
      </c>
    </row>
    <row r="34" spans="1:33" ht="17">
      <c r="A34" s="11" t="s">
        <v>15</v>
      </c>
      <c r="B34" s="15">
        <f t="shared" si="3"/>
        <v>6766.333333333333</v>
      </c>
      <c r="C34" s="12">
        <v>9546</v>
      </c>
      <c r="D34" s="12">
        <v>7731</v>
      </c>
      <c r="E34" s="12">
        <v>6649</v>
      </c>
      <c r="F34" s="12">
        <v>8629</v>
      </c>
      <c r="G34" s="12">
        <v>6344</v>
      </c>
      <c r="H34" s="12">
        <v>6771</v>
      </c>
      <c r="I34" s="12">
        <v>6876</v>
      </c>
      <c r="J34" s="12">
        <v>7480</v>
      </c>
      <c r="K34" s="12">
        <v>7162</v>
      </c>
      <c r="L34" s="12">
        <v>6694</v>
      </c>
      <c r="M34" s="12">
        <v>8857</v>
      </c>
      <c r="N34" s="12">
        <v>6488</v>
      </c>
      <c r="O34" s="12">
        <v>5976</v>
      </c>
      <c r="P34" s="12">
        <v>5928</v>
      </c>
      <c r="Q34" s="12">
        <v>6763</v>
      </c>
      <c r="R34" s="12">
        <v>6193</v>
      </c>
      <c r="S34" s="12">
        <v>5910</v>
      </c>
      <c r="T34" s="12">
        <v>8023</v>
      </c>
      <c r="U34" s="12">
        <v>5739</v>
      </c>
      <c r="V34" s="12">
        <v>5597</v>
      </c>
      <c r="W34" s="12">
        <v>5298</v>
      </c>
      <c r="X34" s="12">
        <v>6300</v>
      </c>
      <c r="Y34" s="12">
        <v>5785</v>
      </c>
      <c r="Z34" s="12">
        <v>5552</v>
      </c>
      <c r="AA34" s="12">
        <v>7520</v>
      </c>
      <c r="AB34" s="12">
        <v>5673</v>
      </c>
      <c r="AC34" s="12">
        <v>5331</v>
      </c>
      <c r="AD34" s="12">
        <v>5110</v>
      </c>
      <c r="AE34" s="12">
        <v>5829</v>
      </c>
      <c r="AF34" s="12">
        <v>5710</v>
      </c>
      <c r="AG34" s="12">
        <v>5526</v>
      </c>
    </row>
    <row r="37" spans="1:33">
      <c r="F37" t="s">
        <v>238</v>
      </c>
      <c r="G37" t="s">
        <v>239</v>
      </c>
    </row>
    <row r="38" spans="1:33" ht="17">
      <c r="C38" s="19" t="s">
        <v>207</v>
      </c>
      <c r="D38" s="19" t="s">
        <v>205</v>
      </c>
      <c r="E38" t="s">
        <v>206</v>
      </c>
      <c r="F38" t="s">
        <v>204</v>
      </c>
      <c r="G38" t="s">
        <v>204</v>
      </c>
      <c r="H38" t="s">
        <v>15</v>
      </c>
      <c r="I38" t="s">
        <v>240</v>
      </c>
      <c r="K38" s="11" t="s">
        <v>14</v>
      </c>
      <c r="L38" s="15">
        <v>560</v>
      </c>
    </row>
    <row r="39" spans="1:33">
      <c r="B39" s="17">
        <v>0.05</v>
      </c>
      <c r="C39" s="24">
        <f>(B30*31+B5*30)/61</f>
        <v>4082789.9836065574</v>
      </c>
      <c r="D39" s="16">
        <f>C39*0.05</f>
        <v>204139.49918032787</v>
      </c>
      <c r="F39">
        <v>630</v>
      </c>
      <c r="G39" s="31">
        <f>F39*1.03</f>
        <v>648.9</v>
      </c>
      <c r="H39">
        <f>C39*1.05/F39</f>
        <v>6804.6499726775955</v>
      </c>
      <c r="I39" s="31">
        <f>C39/G39</f>
        <v>6291.8631277647673</v>
      </c>
    </row>
    <row r="40" spans="1:33">
      <c r="B40">
        <v>28</v>
      </c>
      <c r="C40" s="18">
        <f>C39*B40*1.05</f>
        <v>120034025.51803279</v>
      </c>
      <c r="G40">
        <f>G39*I39</f>
        <v>4082789.9836065574</v>
      </c>
    </row>
    <row r="43" spans="1:33">
      <c r="B43" t="s">
        <v>208</v>
      </c>
    </row>
    <row r="44" spans="1:33" ht="17">
      <c r="C44" s="12" t="s">
        <v>172</v>
      </c>
      <c r="D44" s="12" t="s">
        <v>173</v>
      </c>
      <c r="E44" s="12" t="s">
        <v>174</v>
      </c>
      <c r="F44" s="12" t="s">
        <v>175</v>
      </c>
      <c r="G44" s="12" t="s">
        <v>176</v>
      </c>
      <c r="H44" s="12" t="s">
        <v>177</v>
      </c>
      <c r="I44" s="12" t="s">
        <v>178</v>
      </c>
      <c r="J44" s="12" t="s">
        <v>179</v>
      </c>
      <c r="K44" s="12" t="s">
        <v>180</v>
      </c>
      <c r="L44" s="12" t="s">
        <v>181</v>
      </c>
      <c r="M44" s="12" t="s">
        <v>182</v>
      </c>
      <c r="N44" s="12" t="s">
        <v>183</v>
      </c>
      <c r="O44" s="12" t="s">
        <v>184</v>
      </c>
      <c r="P44" s="12" t="s">
        <v>185</v>
      </c>
      <c r="Q44" s="12" t="s">
        <v>186</v>
      </c>
      <c r="R44" s="12" t="s">
        <v>187</v>
      </c>
      <c r="S44" s="12" t="s">
        <v>188</v>
      </c>
      <c r="T44" s="12" t="s">
        <v>189</v>
      </c>
      <c r="U44" s="12" t="s">
        <v>190</v>
      </c>
      <c r="V44" s="12" t="s">
        <v>191</v>
      </c>
      <c r="W44" s="12" t="s">
        <v>192</v>
      </c>
      <c r="X44" s="12" t="s">
        <v>193</v>
      </c>
      <c r="Y44" s="12" t="s">
        <v>194</v>
      </c>
      <c r="Z44" s="12" t="s">
        <v>195</v>
      </c>
      <c r="AA44" s="12" t="s">
        <v>196</v>
      </c>
      <c r="AB44" s="12" t="s">
        <v>197</v>
      </c>
      <c r="AC44" s="12" t="s">
        <v>198</v>
      </c>
      <c r="AD44" s="12" t="s">
        <v>199</v>
      </c>
      <c r="AE44" s="12" t="s">
        <v>200</v>
      </c>
      <c r="AF44" s="12" t="s">
        <v>201</v>
      </c>
      <c r="AG44" s="12" t="s">
        <v>202</v>
      </c>
    </row>
    <row r="45" spans="1:33">
      <c r="B45" t="s">
        <v>209</v>
      </c>
      <c r="C45" s="25">
        <f>C30/(B30*31)</f>
        <v>3.480346316811439E-2</v>
      </c>
      <c r="D45" s="25">
        <f>D30/(C30*31)</f>
        <v>3.233471179964767E-2</v>
      </c>
      <c r="E45" s="25">
        <f>E30/(D30*31)</f>
        <v>3.0901699129061915E-2</v>
      </c>
      <c r="F45" s="25">
        <f>F30/(E30*31)</f>
        <v>3.2472332671785578E-2</v>
      </c>
      <c r="G45" s="25">
        <f>G30/(F30*31)</f>
        <v>3.0931223174049192E-2</v>
      </c>
      <c r="H45" s="25">
        <f>H30/(G30*31)</f>
        <v>3.3897859755492595E-2</v>
      </c>
      <c r="I45" s="25">
        <f>I30/(H30*31)</f>
        <v>3.3922337587381869E-2</v>
      </c>
      <c r="J45" s="26">
        <f>J30/(I30*31)</f>
        <v>3.1864891635230756E-2</v>
      </c>
      <c r="K45" s="26">
        <f t="shared" ref="K45:AG45" si="4">K30/(J30*31)</f>
        <v>3.3055290908445993E-2</v>
      </c>
      <c r="L45" s="26">
        <f t="shared" si="4"/>
        <v>3.0748130195831447E-2</v>
      </c>
      <c r="M45" s="26">
        <f t="shared" si="4"/>
        <v>3.5533532649341656E-2</v>
      </c>
      <c r="N45" s="26">
        <f t="shared" si="4"/>
        <v>2.9557948893271579E-2</v>
      </c>
      <c r="O45" s="26">
        <f t="shared" si="4"/>
        <v>3.0568520988982429E-2</v>
      </c>
      <c r="P45" s="26">
        <f t="shared" si="4"/>
        <v>3.0919811132332036E-2</v>
      </c>
      <c r="Q45" s="27">
        <f t="shared" si="4"/>
        <v>3.3178267651717649E-2</v>
      </c>
      <c r="R45" s="27">
        <f t="shared" si="4"/>
        <v>3.0894209369814529E-2</v>
      </c>
      <c r="S45" s="27">
        <f t="shared" si="4"/>
        <v>3.5945406307748548E-2</v>
      </c>
      <c r="T45" s="27">
        <f t="shared" si="4"/>
        <v>3.2651540622993476E-2</v>
      </c>
      <c r="U45" s="27">
        <f t="shared" si="4"/>
        <v>3.0851641926951612E-2</v>
      </c>
      <c r="V45" s="27">
        <f t="shared" si="4"/>
        <v>3.0801792309929611E-2</v>
      </c>
      <c r="W45" s="27">
        <f t="shared" si="4"/>
        <v>2.7545939591996766E-2</v>
      </c>
      <c r="X45" s="28">
        <f t="shared" si="4"/>
        <v>3.3596138363195228E-2</v>
      </c>
      <c r="Y45" s="28">
        <f t="shared" si="4"/>
        <v>3.1980633448368379E-2</v>
      </c>
      <c r="Z45" s="28">
        <f t="shared" si="4"/>
        <v>3.4780593737785935E-2</v>
      </c>
      <c r="AA45" s="28">
        <f t="shared" si="4"/>
        <v>3.5279800891417377E-2</v>
      </c>
      <c r="AB45" s="28">
        <f t="shared" si="4"/>
        <v>2.6851864429976169E-2</v>
      </c>
      <c r="AC45" s="28">
        <f t="shared" si="4"/>
        <v>3.6098796468139342E-2</v>
      </c>
      <c r="AD45" s="28">
        <f t="shared" si="4"/>
        <v>2.9051535942435293E-2</v>
      </c>
      <c r="AE45" s="21">
        <f t="shared" si="4"/>
        <v>3.2580440060154453E-2</v>
      </c>
      <c r="AF45" s="21">
        <f t="shared" si="4"/>
        <v>3.3174927998122432E-2</v>
      </c>
      <c r="AG45" s="21">
        <f t="shared" si="4"/>
        <v>3.1953673701119518E-2</v>
      </c>
    </row>
    <row r="46" spans="1:33">
      <c r="G46">
        <v>22.93</v>
      </c>
      <c r="P46">
        <v>22.29</v>
      </c>
      <c r="W46">
        <v>22.19</v>
      </c>
      <c r="AD46">
        <v>22.76</v>
      </c>
    </row>
    <row r="48" spans="1:33">
      <c r="B48" s="20">
        <f>31/28</f>
        <v>1.1071428571428572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K48" t="s">
        <v>218</v>
      </c>
      <c r="L48" t="s">
        <v>219</v>
      </c>
      <c r="M48" t="s">
        <v>220</v>
      </c>
      <c r="N48" t="s">
        <v>221</v>
      </c>
      <c r="O48" t="s">
        <v>222</v>
      </c>
      <c r="P48" t="s">
        <v>223</v>
      </c>
      <c r="Q48" t="s">
        <v>224</v>
      </c>
      <c r="R48" t="s">
        <v>225</v>
      </c>
      <c r="S48" t="s">
        <v>226</v>
      </c>
      <c r="T48" t="s">
        <v>227</v>
      </c>
      <c r="U48" t="s">
        <v>228</v>
      </c>
      <c r="V48" t="s">
        <v>229</v>
      </c>
      <c r="W48" t="s">
        <v>230</v>
      </c>
      <c r="X48" t="s">
        <v>231</v>
      </c>
      <c r="Y48" t="s">
        <v>232</v>
      </c>
      <c r="Z48" t="s">
        <v>233</v>
      </c>
      <c r="AA48" t="s">
        <v>234</v>
      </c>
      <c r="AB48" t="s">
        <v>235</v>
      </c>
      <c r="AC48" t="s">
        <v>236</v>
      </c>
      <c r="AD48" t="s">
        <v>237</v>
      </c>
    </row>
    <row r="49" spans="2:30">
      <c r="B49" s="20">
        <f>SUM(C49:AD49)</f>
        <v>0.99755776276052188</v>
      </c>
      <c r="C49" s="22">
        <f>C45*$B$48</f>
        <v>3.8532405650412362E-2</v>
      </c>
      <c r="D49" s="22">
        <f>D45*$B$48</f>
        <v>3.5799145206752779E-2</v>
      </c>
      <c r="E49" s="22">
        <f>E45*$B$48</f>
        <v>3.4212595464318554E-2</v>
      </c>
      <c r="F49" s="22">
        <f>F45*$B$48</f>
        <v>3.5951511172334034E-2</v>
      </c>
      <c r="G49" s="22">
        <f>G45*$B$48</f>
        <v>3.4245282799840182E-2</v>
      </c>
      <c r="H49" s="22">
        <f>H45*$B$48</f>
        <v>3.7529773300723948E-2</v>
      </c>
      <c r="I49" s="22">
        <f>I45*$B$48</f>
        <v>3.7556873757458503E-2</v>
      </c>
      <c r="J49" s="22">
        <f>J45*$B$48</f>
        <v>3.5278987167576908E-2</v>
      </c>
      <c r="K49" s="22">
        <f t="shared" ref="K49:AD49" si="5">K45*$B$48</f>
        <v>3.6596929220065209E-2</v>
      </c>
      <c r="L49" s="22">
        <f t="shared" si="5"/>
        <v>3.4042572716813387E-2</v>
      </c>
      <c r="M49" s="22">
        <f t="shared" si="5"/>
        <v>3.9340696861771121E-2</v>
      </c>
      <c r="N49" s="22">
        <f t="shared" si="5"/>
        <v>3.2724871988979248E-2</v>
      </c>
      <c r="O49" s="22">
        <f t="shared" si="5"/>
        <v>3.3843719666373402E-2</v>
      </c>
      <c r="P49" s="22">
        <f t="shared" si="5"/>
        <v>3.4232648039367611E-2</v>
      </c>
      <c r="Q49" s="22">
        <f t="shared" si="5"/>
        <v>3.6733082042973111E-2</v>
      </c>
      <c r="R49" s="22">
        <f t="shared" si="5"/>
        <v>3.4204303230866089E-2</v>
      </c>
      <c r="S49" s="22">
        <f t="shared" si="5"/>
        <v>3.9796699840721608E-2</v>
      </c>
      <c r="T49" s="22">
        <f t="shared" si="5"/>
        <v>3.6149919975457065E-2</v>
      </c>
      <c r="U49" s="22">
        <f t="shared" si="5"/>
        <v>3.4157174990553575E-2</v>
      </c>
      <c r="V49" s="22">
        <f t="shared" si="5"/>
        <v>3.4101984343136355E-2</v>
      </c>
      <c r="W49" s="22">
        <f t="shared" si="5"/>
        <v>3.0497290262567849E-2</v>
      </c>
      <c r="X49" s="22">
        <f t="shared" si="5"/>
        <v>3.7195724616394719E-2</v>
      </c>
      <c r="Y49" s="22">
        <f t="shared" si="5"/>
        <v>3.540712988926499E-2</v>
      </c>
      <c r="Z49" s="22">
        <f t="shared" si="5"/>
        <v>3.8507085923977287E-2</v>
      </c>
      <c r="AA49" s="22">
        <f t="shared" si="5"/>
        <v>3.9059779558354955E-2</v>
      </c>
      <c r="AB49" s="22">
        <f t="shared" si="5"/>
        <v>2.9728849904616474E-2</v>
      </c>
      <c r="AC49" s="22">
        <f t="shared" si="5"/>
        <v>3.9966524661154273E-2</v>
      </c>
      <c r="AD49" s="22">
        <f t="shared" si="5"/>
        <v>3.2164200507696222E-2</v>
      </c>
    </row>
    <row r="50" spans="2:30">
      <c r="B50" s="23">
        <f>SUM(C50:AD50)</f>
        <v>119740873.95090818</v>
      </c>
      <c r="C50" s="29">
        <f>C49*$C$40</f>
        <v>4625199.7631127881</v>
      </c>
      <c r="D50" s="29">
        <f t="shared" ref="D50:AD50" si="6">D49*$C$40</f>
        <v>4297115.5092711244</v>
      </c>
      <c r="E50" s="29">
        <f t="shared" si="6"/>
        <v>4106675.5570021463</v>
      </c>
      <c r="F50" s="29">
        <f t="shared" si="6"/>
        <v>4315404.609471784</v>
      </c>
      <c r="G50" s="29">
        <f t="shared" si="6"/>
        <v>4110599.1494682659</v>
      </c>
      <c r="H50" s="29">
        <f t="shared" si="6"/>
        <v>4504849.7660650844</v>
      </c>
      <c r="I50" s="29">
        <f t="shared" si="6"/>
        <v>4508102.7429803098</v>
      </c>
      <c r="J50" s="29">
        <f t="shared" si="6"/>
        <v>4234678.8459232775</v>
      </c>
      <c r="K50" s="29">
        <f t="shared" si="6"/>
        <v>4392876.7358829472</v>
      </c>
      <c r="L50" s="29">
        <f t="shared" si="6"/>
        <v>4086267.0421894649</v>
      </c>
      <c r="M50" s="29">
        <f t="shared" si="6"/>
        <v>4722222.2110030269</v>
      </c>
      <c r="N50" s="29">
        <f t="shared" si="6"/>
        <v>3928098.1193994917</v>
      </c>
      <c r="O50" s="29">
        <f t="shared" si="6"/>
        <v>4062397.9100586129</v>
      </c>
      <c r="P50" s="29">
        <f t="shared" si="6"/>
        <v>4109082.548307287</v>
      </c>
      <c r="Q50" s="29">
        <f t="shared" si="6"/>
        <v>4409219.7073022267</v>
      </c>
      <c r="R50" s="29">
        <f t="shared" si="6"/>
        <v>4105680.2068403116</v>
      </c>
      <c r="S50" s="29">
        <f t="shared" si="6"/>
        <v>4776958.0842146687</v>
      </c>
      <c r="T50" s="29">
        <f t="shared" si="6"/>
        <v>4339220.4168088567</v>
      </c>
      <c r="U50" s="29">
        <f t="shared" si="6"/>
        <v>4100023.2144400193</v>
      </c>
      <c r="V50" s="29">
        <f t="shared" si="6"/>
        <v>4093398.4588595838</v>
      </c>
      <c r="W50" s="29">
        <f t="shared" si="6"/>
        <v>3660712.5176079222</v>
      </c>
      <c r="X50" s="29">
        <f t="shared" si="6"/>
        <v>4464752.5577660445</v>
      </c>
      <c r="Y50" s="29">
        <f t="shared" si="6"/>
        <v>4250060.332648335</v>
      </c>
      <c r="Z50" s="29">
        <f t="shared" si="6"/>
        <v>4622160.5344237713</v>
      </c>
      <c r="AA50" s="29">
        <f t="shared" si="6"/>
        <v>4688502.5762363141</v>
      </c>
      <c r="AB50" s="29">
        <f t="shared" si="6"/>
        <v>3568473.5280725006</v>
      </c>
      <c r="AC50" s="29">
        <f t="shared" si="6"/>
        <v>4797342.8410440786</v>
      </c>
      <c r="AD50" s="29">
        <f t="shared" si="6"/>
        <v>3860798.4645079314</v>
      </c>
    </row>
    <row r="54" spans="2:30">
      <c r="C54">
        <v>4082789.9836065574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11月</vt:lpstr>
      <vt:lpstr>12月 (2)</vt:lpstr>
      <vt:lpstr>1月</vt:lpstr>
      <vt:lpstr>合并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QIhang qian</dc:creator>
  <cp:lastModifiedBy>QIhang qian</cp:lastModifiedBy>
  <dcterms:created xsi:type="dcterms:W3CDTF">2026-01-31T06:46:44Z</dcterms:created>
  <dcterms:modified xsi:type="dcterms:W3CDTF">2026-01-31T07:52:42Z</dcterms:modified>
</cp:coreProperties>
</file>