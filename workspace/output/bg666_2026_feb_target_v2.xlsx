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2月" sheetId="2" state="visible" r:id="rId2"/>
    <sheet name="3月" sheetId="3" state="visible" r:id="rId3"/>
    <sheet name="4月" sheetId="4" state="visible" r:id="rId4"/>
    <sheet name="口径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666666"/>
      <sz val="11"/>
    </font>
    <font>
      <b val="1"/>
      <sz val="11"/>
    </font>
    <font>
      <b val="1"/>
    </font>
    <font>
      <b val="1"/>
      <sz val="12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4" fillId="0" borderId="0" pivotButton="0" quotePrefix="0" xfId="0"/>
    <xf numFmtId="164" fontId="0" fillId="0" borderId="1" pivotButton="0" quotePrefix="0" xfId="0"/>
    <xf numFmtId="0" fontId="5" fillId="0" borderId="0" pivotButton="0" quotePrefix="0" xfId="0"/>
    <xf numFmtId="3" fontId="4" fillId="0" borderId="0" pivotButton="0" quotePrefix="0" xfId="0"/>
    <xf numFmtId="4" fontId="4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22" customWidth="1" min="4" max="4"/>
    <col width="60" customWidth="1" min="5" max="5"/>
    <col width="18" customWidth="1" min="6" max="6"/>
    <col width="16" customWidth="1" min="7" max="7"/>
    <col width="16" customWidth="1" min="8" max="8"/>
  </cols>
  <sheetData>
    <row r="1">
      <c r="A1" s="1" t="inlineStr">
        <is>
          <t>BG666 2026 2-4月 周预期进度表</t>
        </is>
      </c>
    </row>
    <row r="2">
      <c r="A2" s="2" t="inlineStr">
        <is>
          <t>基于 DB 实际数据推算（channel_data_statistics + channel_game_statistics）</t>
        </is>
      </c>
    </row>
    <row r="3">
      <c r="A3" t="inlineStr">
        <is>
          <t>基准期：2025-12-01 ~ 2026-01-30（61天）</t>
        </is>
      </c>
    </row>
    <row r="4">
      <c r="A4" t="inlineStr">
        <is>
          <t>口径：自然日 | 周结算：周日 | 全部指标已与 Excel 对齐 ✅</t>
        </is>
      </c>
    </row>
    <row r="6">
      <c r="A6" s="3" t="inlineStr">
        <is>
          <t>基准日均指标</t>
        </is>
      </c>
    </row>
    <row r="7">
      <c r="A7" s="4" t="inlineStr">
        <is>
          <t>指标</t>
        </is>
      </c>
      <c r="B7" s="4" t="inlineStr">
        <is>
          <t>61天总量</t>
        </is>
      </c>
      <c r="C7" s="4" t="inlineStr">
        <is>
          <t>日均</t>
        </is>
      </c>
      <c r="D7" s="4" t="inlineStr">
        <is>
          <t>DB 字段</t>
        </is>
      </c>
      <c r="E7" s="4" t="inlineStr">
        <is>
          <t>口径说明</t>
        </is>
      </c>
    </row>
    <row r="8">
      <c r="A8" s="5" t="inlineStr">
        <is>
          <t>注册人数</t>
        </is>
      </c>
      <c r="B8" s="6" t="n">
        <v>63293</v>
      </c>
      <c r="C8" s="7" t="n">
        <v>1037.59</v>
      </c>
      <c r="D8" s="5" t="inlineStr">
        <is>
          <t>register_number</t>
        </is>
      </c>
      <c r="E8" s="5" t="inlineStr">
        <is>
          <t>当日新注册玩家数。来源：channel_data_statistics.register_number，按 statistics_day 汇总所有渠道。与后台「注册人数」完全对齐。</t>
        </is>
      </c>
    </row>
    <row r="9">
      <c r="A9" s="5" t="inlineStr">
        <is>
          <t>活跃人数</t>
        </is>
      </c>
      <c r="B9" s="6" t="n">
        <v>2458053</v>
      </c>
      <c r="C9" s="7" t="n">
        <v>40295.95</v>
      </c>
      <c r="D9" s="5" t="inlineStr">
        <is>
          <t>active_number</t>
        </is>
      </c>
      <c r="E9" s="5" t="inlineStr">
        <is>
          <t>当日至少登录一次的独立玩家数。来源：channel_data_statistics.active_number。等价于 player_logininfor 表 COUNT(DISTINCT player_id)。</t>
        </is>
      </c>
    </row>
    <row r="10">
      <c r="A10" s="5" t="inlineStr">
        <is>
          <t>ip人数</t>
        </is>
      </c>
      <c r="B10" s="6" t="n">
        <v>3096137</v>
      </c>
      <c r="C10" s="7" t="n">
        <v>50756.34</v>
      </c>
      <c r="D10" s="5" t="inlineStr">
        <is>
          <t>ip_number</t>
        </is>
      </c>
      <c r="E10" s="5" t="inlineStr">
        <is>
          <t>当日独立 IP 数（含登录+注册 IP）。来源：channel_data_statistics.ip_number。注意：同一 IP 多人登录只算一个，所以 ip人数 &gt; 活跃人数。</t>
        </is>
      </c>
    </row>
    <row r="11">
      <c r="A11" s="5" t="inlineStr">
        <is>
          <t>充值</t>
        </is>
      </c>
      <c r="B11" s="6" t="n">
        <v>249050189</v>
      </c>
      <c r="C11" s="7" t="n">
        <v>4082789.98</v>
      </c>
      <c r="D11" s="5" t="inlineStr">
        <is>
          <t>recharge_amount</t>
        </is>
      </c>
      <c r="E11" s="5" t="inlineStr">
        <is>
          <t>当日所有成功充值订单的总金额（₹）。来源：channel_data_statistics.recharge_amount。等价于 player_recharge_order 表 WHERE order_status=1 的 SUM(pay_amount)。</t>
        </is>
      </c>
    </row>
    <row r="12">
      <c r="A12" s="5" t="inlineStr">
        <is>
          <t>提现</t>
        </is>
      </c>
      <c r="B12" s="6" t="n">
        <v>216238980</v>
      </c>
      <c r="C12" s="7" t="n">
        <v>3544901.31</v>
      </c>
      <c r="D12" s="5" t="inlineStr">
        <is>
          <t>withdraw_amount</t>
        </is>
      </c>
      <c r="E12" s="5" t="inlineStr">
        <is>
          <t>当日所有成功提现订单的总金额（₹）。来源：channel_data_statistics.withdraw_amount。等价于 player_withdraw_order 表 WHERE order_status=3 的 SUM(withdraw_amount)，按 finish_time 分日。</t>
        </is>
      </c>
    </row>
    <row r="13">
      <c r="A13" s="5" t="inlineStr">
        <is>
          <t>充提差</t>
        </is>
      </c>
      <c r="B13" s="6" t="n">
        <v>32811209</v>
      </c>
      <c r="C13" s="7" t="n">
        <v>537888.67</v>
      </c>
      <c r="D13" s="5" t="inlineStr">
        <is>
          <t>recharge - withdraw</t>
        </is>
      </c>
      <c r="E13" s="5" t="inlineStr">
        <is>
          <t>充值 - 提现。正数=平台净流入，负数=净流出。这是最核心的盈利健康指标。</t>
        </is>
      </c>
    </row>
    <row r="14">
      <c r="A14" s="5" t="inlineStr">
        <is>
          <t>总投注</t>
        </is>
      </c>
      <c r="B14" s="6" t="n">
        <v>2069769049</v>
      </c>
      <c r="C14" s="7" t="n">
        <v>33930640.14</v>
      </c>
      <c r="D14" s="5" t="inlineStr">
        <is>
          <t>bet_amount (game表)</t>
        </is>
      </c>
      <c r="E14" s="5" t="inlineStr">
        <is>
          <t>当日所有游戏的总投注金额（₹）。来源：channel_game_statistics.bet_amount，按 statistics_day 汇总所有渠道和游戏类型。注意：不是 player_statistics_day（两表有小差异，以 channel_game_statistics 为准）。</t>
        </is>
      </c>
    </row>
    <row r="15">
      <c r="A15" s="5" t="inlineStr">
        <is>
          <t>首充人数</t>
        </is>
      </c>
      <c r="B15" s="6" t="n">
        <v>34049</v>
      </c>
      <c r="C15" s="7" t="n">
        <v>558.1799999999999</v>
      </c>
      <c r="D15" s="5" t="inlineStr">
        <is>
          <t>first_recharge_number</t>
        </is>
      </c>
      <c r="E15" s="5" t="inlineStr">
        <is>
          <t>当日首次充值的玩家数（全历史首充，不是当月首充）。来源：channel_data_statistics.first_recharge_number。等价于 player_recharge_order 表 MIN(pay_date) per player。</t>
        </is>
      </c>
    </row>
    <row r="16">
      <c r="A16" s="5" t="inlineStr">
        <is>
          <t>充值人数</t>
        </is>
      </c>
      <c r="B16" s="6" t="n">
        <v>392084</v>
      </c>
      <c r="C16" s="7" t="n">
        <v>6427.61</v>
      </c>
      <c r="D16" s="5" t="inlineStr">
        <is>
          <t>recharge_number</t>
        </is>
      </c>
      <c r="E16" s="5" t="inlineStr">
        <is>
          <t>当日有成功充值的独立玩家数。来源：channel_data_statistics.recharge_number。等价于 player_recharge_order 表 WHERE order_status=1 的 COUNT(DISTINCT player_id)。</t>
        </is>
      </c>
    </row>
    <row r="17">
      <c r="A17" s="5" t="inlineStr">
        <is>
          <t>人均充值</t>
        </is>
      </c>
      <c r="B17" s="5" t="n"/>
      <c r="C17" s="7" t="n">
        <v>635.13</v>
      </c>
      <c r="D17" s="5" t="inlineStr">
        <is>
          <t>充值 / 充值人数</t>
        </is>
      </c>
      <c r="E17" s="5" t="inlineStr">
        <is>
          <t>充值 ÷ 充值人数。反映付费玩家的平均充值深度。人均越高说明大户贡献越大。</t>
        </is>
      </c>
    </row>
    <row r="19">
      <c r="A19" s="3" t="inlineStr">
        <is>
          <t>增长假设</t>
        </is>
      </c>
    </row>
    <row r="20">
      <c r="A20" t="inlineStr">
        <is>
          <t>2月</t>
        </is>
      </c>
      <c r="B20" t="inlineStr">
        <is>
          <t>5%</t>
        </is>
      </c>
    </row>
    <row r="21">
      <c r="A21" t="inlineStr">
        <is>
          <t>3月</t>
        </is>
      </c>
      <c r="B21" t="inlineStr">
        <is>
          <t>5%</t>
        </is>
      </c>
    </row>
    <row r="22">
      <c r="A22" t="inlineStr">
        <is>
          <t>4月</t>
        </is>
      </c>
      <c r="B22" t="inlineStr">
        <is>
          <t>5%</t>
        </is>
      </c>
    </row>
    <row r="24">
      <c r="A24" s="3" t="inlineStr">
        <is>
          <t>月度预期总览（日均 × 天数 × (1+增长)）</t>
        </is>
      </c>
    </row>
    <row r="25">
      <c r="A25" s="4" t="inlineStr">
        <is>
          <t>月份</t>
        </is>
      </c>
      <c r="B25" s="4" t="inlineStr">
        <is>
          <t>天数</t>
        </is>
      </c>
      <c r="C25" s="4" t="inlineStr">
        <is>
          <t>增长</t>
        </is>
      </c>
      <c r="D25" s="4" t="inlineStr">
        <is>
          <t>预期注册</t>
        </is>
      </c>
      <c r="E25" s="4" t="inlineStr">
        <is>
          <t>预期充值</t>
        </is>
      </c>
      <c r="F25" s="4" t="inlineStr">
        <is>
          <t>预期投注</t>
        </is>
      </c>
      <c r="G25" s="4" t="inlineStr">
        <is>
          <t>预期首充</t>
        </is>
      </c>
      <c r="H25" s="4" t="inlineStr">
        <is>
          <t>预期充值人数</t>
        </is>
      </c>
    </row>
    <row r="26">
      <c r="A26" s="5" t="inlineStr">
        <is>
          <t>2026-02</t>
        </is>
      </c>
      <c r="B26" s="5" t="n">
        <v>28</v>
      </c>
      <c r="C26" s="5" t="inlineStr">
        <is>
          <t>5%</t>
        </is>
      </c>
      <c r="D26" s="6" t="n">
        <v>30505</v>
      </c>
      <c r="E26" s="6" t="n">
        <v>120034025</v>
      </c>
      <c r="F26" s="6" t="n">
        <v>997560820</v>
      </c>
      <c r="G26" s="6" t="n">
        <v>16410</v>
      </c>
      <c r="H26" s="6" t="n">
        <v>188972</v>
      </c>
    </row>
    <row r="27">
      <c r="A27" s="5" t="inlineStr">
        <is>
          <t>2026-03</t>
        </is>
      </c>
      <c r="B27" s="5" t="n">
        <v>31</v>
      </c>
      <c r="C27" s="5" t="inlineStr">
        <is>
          <t>5%</t>
        </is>
      </c>
      <c r="D27" s="6" t="n">
        <v>33774</v>
      </c>
      <c r="E27" s="6" t="n">
        <v>132894814</v>
      </c>
      <c r="F27" s="6" t="n">
        <v>1104442337</v>
      </c>
      <c r="G27" s="6" t="n">
        <v>18169</v>
      </c>
      <c r="H27" s="6" t="n">
        <v>209219</v>
      </c>
    </row>
    <row r="28">
      <c r="A28" s="5" t="inlineStr">
        <is>
          <t>2026-04</t>
        </is>
      </c>
      <c r="B28" s="5" t="n">
        <v>30</v>
      </c>
      <c r="C28" s="5" t="inlineStr">
        <is>
          <t>5%</t>
        </is>
      </c>
      <c r="D28" s="6" t="n">
        <v>32684</v>
      </c>
      <c r="E28" s="6" t="n">
        <v>128607884</v>
      </c>
      <c r="F28" s="6" t="n">
        <v>1068815164</v>
      </c>
      <c r="G28" s="6" t="n">
        <v>17583</v>
      </c>
      <c r="H28" s="6" t="n">
        <v>202470</v>
      </c>
    </row>
    <row r="30">
      <c r="A30" s="3" t="inlineStr">
        <is>
          <t>预期指标口径说明</t>
        </is>
      </c>
    </row>
    <row r="31">
      <c r="A31" s="8" t="inlineStr">
        <is>
          <t>预期注册</t>
        </is>
      </c>
      <c r="B31">
        <f> 注册人数日均 × 天数 × (1+增长率)。口径：channel_data_statistics.register_number</f>
        <v/>
      </c>
    </row>
    <row r="32">
      <c r="A32" s="8" t="inlineStr">
        <is>
          <t>预期充值</t>
        </is>
      </c>
      <c r="B32">
        <f> 充值日均 × 天数 × (1+增长率)。口径：channel_data_statistics.recharge_amount（order_status=1 成功订单）</f>
        <v/>
      </c>
    </row>
    <row r="33">
      <c r="A33" s="8" t="inlineStr">
        <is>
          <t>预期投注</t>
        </is>
      </c>
      <c r="B33">
        <f> 总投注日均 × 天数 × (1+增长率)。口径：channel_game_statistics.bet_amount（⚠️不用player_statistics_day）</f>
        <v/>
      </c>
    </row>
    <row r="34">
      <c r="A34" s="8" t="inlineStr">
        <is>
          <t>预期首充</t>
        </is>
      </c>
      <c r="B34">
        <f> 首充人数日均 × 天数 × (1+增长率)。口径：channel_data_statistics.first_recharge_number（全历史首充）</f>
        <v/>
      </c>
    </row>
    <row r="35">
      <c r="A35" s="8" t="inlineStr">
        <is>
          <t>预期充值人数</t>
        </is>
      </c>
      <c r="B35">
        <f> 充值人数日均 × 天数 × (1+增长率)。口径：channel_data_statistics.recharge_number（当日有成功充值的独立玩家数）</f>
        <v/>
      </c>
    </row>
    <row r="37">
      <c r="A37" s="8" t="inlineStr">
        <is>
          <t>公式</t>
        </is>
      </c>
      <c r="B37" t="inlineStr">
        <is>
          <t>预期值 = 基准日均 x 当月天数 x (1 + 月增长率)。基准日均来自 12/1~1/30 共 61 天 DB 实际数据。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2026 2月 周预期进度（周日结算）</t>
        </is>
      </c>
    </row>
    <row r="2">
      <c r="A2" s="2" t="inlineStr">
        <is>
          <t>增长假设: 5% | 基准: 12月+1月日均 × (1+5%)</t>
        </is>
      </c>
    </row>
    <row r="4">
      <c r="A4" s="4" t="inlineStr">
        <is>
          <t>周结算日</t>
        </is>
      </c>
      <c r="B4" s="4" t="inlineStr">
        <is>
          <t>累计天数</t>
        </is>
      </c>
      <c r="C4" s="4" t="inlineStr">
        <is>
          <t>时间进度</t>
        </is>
      </c>
      <c r="D4" s="4" t="inlineStr">
        <is>
          <t>注册人数</t>
        </is>
      </c>
      <c r="E4" s="4" t="inlineStr">
        <is>
          <t>活跃人数</t>
        </is>
      </c>
      <c r="F4" s="4" t="inlineStr">
        <is>
          <t>ip人数</t>
        </is>
      </c>
      <c r="G4" s="4" t="inlineStr">
        <is>
          <t>充值</t>
        </is>
      </c>
      <c r="H4" s="4" t="inlineStr">
        <is>
          <t>提现</t>
        </is>
      </c>
      <c r="I4" s="4" t="inlineStr">
        <is>
          <t>充提差</t>
        </is>
      </c>
      <c r="J4" s="4" t="inlineStr">
        <is>
          <t>总投注</t>
        </is>
      </c>
      <c r="K4" s="4" t="inlineStr">
        <is>
          <t>首充人数</t>
        </is>
      </c>
      <c r="L4" s="4" t="inlineStr">
        <is>
          <t>充值人数</t>
        </is>
      </c>
      <c r="M4" s="4" t="inlineStr">
        <is>
          <t>人均充值</t>
        </is>
      </c>
    </row>
    <row r="5">
      <c r="A5" s="5" t="inlineStr">
        <is>
          <t>2026-02-01</t>
        </is>
      </c>
      <c r="B5" s="5" t="n">
        <v>1</v>
      </c>
      <c r="C5" s="9" t="n">
        <v>0.03571428571428571</v>
      </c>
      <c r="D5" s="6" t="n">
        <v>1089</v>
      </c>
      <c r="E5" s="6" t="n">
        <v>42311</v>
      </c>
      <c r="F5" s="6" t="n">
        <v>53294</v>
      </c>
      <c r="G5" s="6" t="n">
        <v>4286929</v>
      </c>
      <c r="H5" s="6" t="n">
        <v>3722146</v>
      </c>
      <c r="I5" s="6" t="n">
        <v>564783</v>
      </c>
      <c r="J5" s="6" t="n">
        <v>35627172</v>
      </c>
      <c r="K5" s="6" t="n">
        <v>586</v>
      </c>
      <c r="L5" s="6" t="n">
        <v>6749</v>
      </c>
      <c r="M5" s="7" t="n">
        <v>666.89</v>
      </c>
    </row>
    <row r="6">
      <c r="A6" s="5" t="inlineStr">
        <is>
          <t>2026-02-08</t>
        </is>
      </c>
      <c r="B6" s="5" t="n">
        <v>8</v>
      </c>
      <c r="C6" s="9" t="n">
        <v>0.2857142857142857</v>
      </c>
      <c r="D6" s="6" t="n">
        <v>8716</v>
      </c>
      <c r="E6" s="6" t="n">
        <v>338486</v>
      </c>
      <c r="F6" s="6" t="n">
        <v>426353</v>
      </c>
      <c r="G6" s="6" t="n">
        <v>34295436</v>
      </c>
      <c r="H6" s="6" t="n">
        <v>29777171</v>
      </c>
      <c r="I6" s="6" t="n">
        <v>4518265</v>
      </c>
      <c r="J6" s="6" t="n">
        <v>285017377</v>
      </c>
      <c r="K6" s="6" t="n">
        <v>4689</v>
      </c>
      <c r="L6" s="6" t="n">
        <v>53992</v>
      </c>
      <c r="M6" s="7" t="n">
        <v>666.89</v>
      </c>
    </row>
    <row r="7">
      <c r="A7" s="5" t="inlineStr">
        <is>
          <t>2026-02-15</t>
        </is>
      </c>
      <c r="B7" s="5" t="n">
        <v>15</v>
      </c>
      <c r="C7" s="9" t="n">
        <v>0.5357142857142857</v>
      </c>
      <c r="D7" s="6" t="n">
        <v>16342</v>
      </c>
      <c r="E7" s="6" t="n">
        <v>634661</v>
      </c>
      <c r="F7" s="6" t="n">
        <v>799412</v>
      </c>
      <c r="G7" s="6" t="n">
        <v>64303942</v>
      </c>
      <c r="H7" s="6" t="n">
        <v>55832196</v>
      </c>
      <c r="I7" s="6" t="n">
        <v>8471747</v>
      </c>
      <c r="J7" s="6" t="n">
        <v>534407582</v>
      </c>
      <c r="K7" s="6" t="n">
        <v>8791</v>
      </c>
      <c r="L7" s="6" t="n">
        <v>101235</v>
      </c>
      <c r="M7" s="7" t="n">
        <v>666.89</v>
      </c>
    </row>
    <row r="8">
      <c r="A8" s="5" t="inlineStr">
        <is>
          <t>2026-02-22</t>
        </is>
      </c>
      <c r="B8" s="5" t="n">
        <v>22</v>
      </c>
      <c r="C8" s="9" t="n">
        <v>0.7857142857142857</v>
      </c>
      <c r="D8" s="6" t="n">
        <v>23968</v>
      </c>
      <c r="E8" s="6" t="n">
        <v>930836</v>
      </c>
      <c r="F8" s="6" t="n">
        <v>1172471</v>
      </c>
      <c r="G8" s="6" t="n">
        <v>94312449</v>
      </c>
      <c r="H8" s="6" t="n">
        <v>81887220</v>
      </c>
      <c r="I8" s="6" t="n">
        <v>12425228</v>
      </c>
      <c r="J8" s="6" t="n">
        <v>783797787</v>
      </c>
      <c r="K8" s="6" t="n">
        <v>12894</v>
      </c>
      <c r="L8" s="6" t="n">
        <v>148478</v>
      </c>
      <c r="M8" s="7" t="n">
        <v>666.89</v>
      </c>
    </row>
    <row r="9">
      <c r="A9" s="5" t="inlineStr">
        <is>
          <t>2026-02-28</t>
        </is>
      </c>
      <c r="B9" s="5" t="n">
        <v>28</v>
      </c>
      <c r="C9" s="9" t="n">
        <v>1</v>
      </c>
      <c r="D9" s="6" t="n">
        <v>30505</v>
      </c>
      <c r="E9" s="6" t="n">
        <v>1184701</v>
      </c>
      <c r="F9" s="6" t="n">
        <v>1492236</v>
      </c>
      <c r="G9" s="6" t="n">
        <v>120034025</v>
      </c>
      <c r="H9" s="6" t="n">
        <v>104220099</v>
      </c>
      <c r="I9" s="6" t="n">
        <v>15813927</v>
      </c>
      <c r="J9" s="6" t="n">
        <v>997560820</v>
      </c>
      <c r="K9" s="6" t="n">
        <v>16410</v>
      </c>
      <c r="L9" s="6" t="n">
        <v>188972</v>
      </c>
      <c r="M9" s="7" t="n">
        <v>666.89</v>
      </c>
    </row>
    <row r="11">
      <c r="A11" s="10" t="inlineStr">
        <is>
          <t>月度总目标</t>
        </is>
      </c>
      <c r="D11" s="11" t="n">
        <v>30505</v>
      </c>
      <c r="E11" s="11" t="n">
        <v>1184701</v>
      </c>
      <c r="F11" s="11" t="n">
        <v>1492236</v>
      </c>
      <c r="G11" s="11" t="n">
        <v>120034025</v>
      </c>
      <c r="H11" s="11" t="n">
        <v>104220099</v>
      </c>
      <c r="I11" s="11" t="n">
        <v>15813927</v>
      </c>
      <c r="J11" s="11" t="n">
        <v>997560820</v>
      </c>
      <c r="K11" s="11" t="n">
        <v>16410</v>
      </c>
      <c r="L11" s="11" t="n">
        <v>188972</v>
      </c>
      <c r="M11" s="12" t="n">
        <v>666.89</v>
      </c>
    </row>
    <row r="12">
      <c r="A12" s="13" t="inlineStr">
        <is>
          <t>实际累计</t>
        </is>
      </c>
    </row>
    <row r="13">
      <c r="A13" s="13" t="inlineStr">
        <is>
          <t>差异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2026 3月 周预期进度（周日结算）</t>
        </is>
      </c>
    </row>
    <row r="2">
      <c r="A2" s="2" t="inlineStr">
        <is>
          <t>增长假设: 5% | 基准: 12月+1月日均 × (1+5%)</t>
        </is>
      </c>
    </row>
    <row r="4">
      <c r="A4" s="4" t="inlineStr">
        <is>
          <t>周结算日</t>
        </is>
      </c>
      <c r="B4" s="4" t="inlineStr">
        <is>
          <t>累计天数</t>
        </is>
      </c>
      <c r="C4" s="4" t="inlineStr">
        <is>
          <t>时间进度</t>
        </is>
      </c>
      <c r="D4" s="4" t="inlineStr">
        <is>
          <t>注册人数</t>
        </is>
      </c>
      <c r="E4" s="4" t="inlineStr">
        <is>
          <t>活跃人数</t>
        </is>
      </c>
      <c r="F4" s="4" t="inlineStr">
        <is>
          <t>ip人数</t>
        </is>
      </c>
      <c r="G4" s="4" t="inlineStr">
        <is>
          <t>充值</t>
        </is>
      </c>
      <c r="H4" s="4" t="inlineStr">
        <is>
          <t>提现</t>
        </is>
      </c>
      <c r="I4" s="4" t="inlineStr">
        <is>
          <t>充提差</t>
        </is>
      </c>
      <c r="J4" s="4" t="inlineStr">
        <is>
          <t>总投注</t>
        </is>
      </c>
      <c r="K4" s="4" t="inlineStr">
        <is>
          <t>首充人数</t>
        </is>
      </c>
      <c r="L4" s="4" t="inlineStr">
        <is>
          <t>充值人数</t>
        </is>
      </c>
      <c r="M4" s="4" t="inlineStr">
        <is>
          <t>人均充值</t>
        </is>
      </c>
    </row>
    <row r="5">
      <c r="A5" s="5" t="inlineStr">
        <is>
          <t>2026-03-01</t>
        </is>
      </c>
      <c r="B5" s="5" t="n">
        <v>1</v>
      </c>
      <c r="C5" s="9" t="n">
        <v>0.03225806451612903</v>
      </c>
      <c r="D5" s="6" t="n">
        <v>1089</v>
      </c>
      <c r="E5" s="6" t="n">
        <v>42311</v>
      </c>
      <c r="F5" s="6" t="n">
        <v>53294</v>
      </c>
      <c r="G5" s="6" t="n">
        <v>4286929</v>
      </c>
      <c r="H5" s="6" t="n">
        <v>3722146</v>
      </c>
      <c r="I5" s="6" t="n">
        <v>564783</v>
      </c>
      <c r="J5" s="6" t="n">
        <v>35627172</v>
      </c>
      <c r="K5" s="6" t="n">
        <v>586</v>
      </c>
      <c r="L5" s="6" t="n">
        <v>6749</v>
      </c>
      <c r="M5" s="7" t="n">
        <v>666.89</v>
      </c>
    </row>
    <row r="6">
      <c r="A6" s="5" t="inlineStr">
        <is>
          <t>2026-03-08</t>
        </is>
      </c>
      <c r="B6" s="5" t="n">
        <v>8</v>
      </c>
      <c r="C6" s="9" t="n">
        <v>0.2580645161290323</v>
      </c>
      <c r="D6" s="6" t="n">
        <v>8716</v>
      </c>
      <c r="E6" s="6" t="n">
        <v>338486</v>
      </c>
      <c r="F6" s="6" t="n">
        <v>426353</v>
      </c>
      <c r="G6" s="6" t="n">
        <v>34295436</v>
      </c>
      <c r="H6" s="6" t="n">
        <v>29777171</v>
      </c>
      <c r="I6" s="6" t="n">
        <v>4518265</v>
      </c>
      <c r="J6" s="6" t="n">
        <v>285017377</v>
      </c>
      <c r="K6" s="6" t="n">
        <v>4689</v>
      </c>
      <c r="L6" s="6" t="n">
        <v>53992</v>
      </c>
      <c r="M6" s="7" t="n">
        <v>666.89</v>
      </c>
    </row>
    <row r="7">
      <c r="A7" s="5" t="inlineStr">
        <is>
          <t>2026-03-15</t>
        </is>
      </c>
      <c r="B7" s="5" t="n">
        <v>15</v>
      </c>
      <c r="C7" s="9" t="n">
        <v>0.4838709677419355</v>
      </c>
      <c r="D7" s="6" t="n">
        <v>16342</v>
      </c>
      <c r="E7" s="6" t="n">
        <v>634661</v>
      </c>
      <c r="F7" s="6" t="n">
        <v>799412</v>
      </c>
      <c r="G7" s="6" t="n">
        <v>64303942</v>
      </c>
      <c r="H7" s="6" t="n">
        <v>55832196</v>
      </c>
      <c r="I7" s="6" t="n">
        <v>8471747</v>
      </c>
      <c r="J7" s="6" t="n">
        <v>534407582</v>
      </c>
      <c r="K7" s="6" t="n">
        <v>8791</v>
      </c>
      <c r="L7" s="6" t="n">
        <v>101235</v>
      </c>
      <c r="M7" s="7" t="n">
        <v>666.89</v>
      </c>
    </row>
    <row r="8">
      <c r="A8" s="5" t="inlineStr">
        <is>
          <t>2026-03-22</t>
        </is>
      </c>
      <c r="B8" s="5" t="n">
        <v>22</v>
      </c>
      <c r="C8" s="9" t="n">
        <v>0.7096774193548387</v>
      </c>
      <c r="D8" s="6" t="n">
        <v>23968</v>
      </c>
      <c r="E8" s="6" t="n">
        <v>930836</v>
      </c>
      <c r="F8" s="6" t="n">
        <v>1172471</v>
      </c>
      <c r="G8" s="6" t="n">
        <v>94312449</v>
      </c>
      <c r="H8" s="6" t="n">
        <v>81887220</v>
      </c>
      <c r="I8" s="6" t="n">
        <v>12425228</v>
      </c>
      <c r="J8" s="6" t="n">
        <v>783797787</v>
      </c>
      <c r="K8" s="6" t="n">
        <v>12894</v>
      </c>
      <c r="L8" s="6" t="n">
        <v>148478</v>
      </c>
      <c r="M8" s="7" t="n">
        <v>666.89</v>
      </c>
    </row>
    <row r="9">
      <c r="A9" s="5" t="inlineStr">
        <is>
          <t>2026-03-29</t>
        </is>
      </c>
      <c r="B9" s="5" t="n">
        <v>29</v>
      </c>
      <c r="C9" s="9" t="n">
        <v>0.9354838709677419</v>
      </c>
      <c r="D9" s="6" t="n">
        <v>31595</v>
      </c>
      <c r="E9" s="6" t="n">
        <v>1227012</v>
      </c>
      <c r="F9" s="6" t="n">
        <v>1545531</v>
      </c>
      <c r="G9" s="6" t="n">
        <v>124320955</v>
      </c>
      <c r="H9" s="6" t="n">
        <v>107942245</v>
      </c>
      <c r="I9" s="6" t="n">
        <v>16378710</v>
      </c>
      <c r="J9" s="6" t="n">
        <v>1033187992</v>
      </c>
      <c r="K9" s="6" t="n">
        <v>16997</v>
      </c>
      <c r="L9" s="6" t="n">
        <v>195721</v>
      </c>
      <c r="M9" s="7" t="n">
        <v>666.89</v>
      </c>
    </row>
    <row r="10">
      <c r="A10" s="5" t="inlineStr">
        <is>
          <t>2026-03-31</t>
        </is>
      </c>
      <c r="B10" s="5" t="n">
        <v>31</v>
      </c>
      <c r="C10" s="9" t="n">
        <v>1</v>
      </c>
      <c r="D10" s="6" t="n">
        <v>33774</v>
      </c>
      <c r="E10" s="6" t="n">
        <v>1311633</v>
      </c>
      <c r="F10" s="6" t="n">
        <v>1652119</v>
      </c>
      <c r="G10" s="6" t="n">
        <v>132894814</v>
      </c>
      <c r="H10" s="6" t="n">
        <v>115386538</v>
      </c>
      <c r="I10" s="6" t="n">
        <v>17508276</v>
      </c>
      <c r="J10" s="6" t="n">
        <v>1104442337</v>
      </c>
      <c r="K10" s="6" t="n">
        <v>18169</v>
      </c>
      <c r="L10" s="6" t="n">
        <v>209219</v>
      </c>
      <c r="M10" s="7" t="n">
        <v>666.89</v>
      </c>
    </row>
    <row r="12">
      <c r="A12" s="10" t="inlineStr">
        <is>
          <t>月度总目标</t>
        </is>
      </c>
      <c r="D12" s="11" t="n">
        <v>33774</v>
      </c>
      <c r="E12" s="11" t="n">
        <v>1311633</v>
      </c>
      <c r="F12" s="11" t="n">
        <v>1652119</v>
      </c>
      <c r="G12" s="11" t="n">
        <v>132894814</v>
      </c>
      <c r="H12" s="11" t="n">
        <v>115386538</v>
      </c>
      <c r="I12" s="11" t="n">
        <v>17508276</v>
      </c>
      <c r="J12" s="11" t="n">
        <v>1104442337</v>
      </c>
      <c r="K12" s="11" t="n">
        <v>18169</v>
      </c>
      <c r="L12" s="11" t="n">
        <v>209219</v>
      </c>
      <c r="M12" s="12" t="n">
        <v>666.89</v>
      </c>
    </row>
    <row r="13">
      <c r="A13" s="13" t="inlineStr">
        <is>
          <t>实际累计</t>
        </is>
      </c>
    </row>
    <row r="14">
      <c r="A14" s="13" t="inlineStr">
        <is>
          <t>差异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2026 4月 周预期进度（周日结算）</t>
        </is>
      </c>
    </row>
    <row r="2">
      <c r="A2" s="2" t="inlineStr">
        <is>
          <t>增长假设: 5% | 基准: 12月+1月日均 × (1+5%)</t>
        </is>
      </c>
    </row>
    <row r="4">
      <c r="A4" s="4" t="inlineStr">
        <is>
          <t>周结算日</t>
        </is>
      </c>
      <c r="B4" s="4" t="inlineStr">
        <is>
          <t>累计天数</t>
        </is>
      </c>
      <c r="C4" s="4" t="inlineStr">
        <is>
          <t>时间进度</t>
        </is>
      </c>
      <c r="D4" s="4" t="inlineStr">
        <is>
          <t>注册人数</t>
        </is>
      </c>
      <c r="E4" s="4" t="inlineStr">
        <is>
          <t>活跃人数</t>
        </is>
      </c>
      <c r="F4" s="4" t="inlineStr">
        <is>
          <t>ip人数</t>
        </is>
      </c>
      <c r="G4" s="4" t="inlineStr">
        <is>
          <t>充值</t>
        </is>
      </c>
      <c r="H4" s="4" t="inlineStr">
        <is>
          <t>提现</t>
        </is>
      </c>
      <c r="I4" s="4" t="inlineStr">
        <is>
          <t>充提差</t>
        </is>
      </c>
      <c r="J4" s="4" t="inlineStr">
        <is>
          <t>总投注</t>
        </is>
      </c>
      <c r="K4" s="4" t="inlineStr">
        <is>
          <t>首充人数</t>
        </is>
      </c>
      <c r="L4" s="4" t="inlineStr">
        <is>
          <t>充值人数</t>
        </is>
      </c>
      <c r="M4" s="4" t="inlineStr">
        <is>
          <t>人均充值</t>
        </is>
      </c>
    </row>
    <row r="5">
      <c r="A5" s="5" t="inlineStr">
        <is>
          <t>2026-04-05</t>
        </is>
      </c>
      <c r="B5" s="5" t="n">
        <v>5</v>
      </c>
      <c r="C5" s="9" t="n">
        <v>0.1666666666666667</v>
      </c>
      <c r="D5" s="6" t="n">
        <v>5447</v>
      </c>
      <c r="E5" s="6" t="n">
        <v>211554</v>
      </c>
      <c r="F5" s="6" t="n">
        <v>266471</v>
      </c>
      <c r="G5" s="6" t="n">
        <v>21434647</v>
      </c>
      <c r="H5" s="6" t="n">
        <v>18610732</v>
      </c>
      <c r="I5" s="6" t="n">
        <v>2823916</v>
      </c>
      <c r="J5" s="6" t="n">
        <v>178135861</v>
      </c>
      <c r="K5" s="6" t="n">
        <v>2930</v>
      </c>
      <c r="L5" s="6" t="n">
        <v>33745</v>
      </c>
      <c r="M5" s="7" t="n">
        <v>666.89</v>
      </c>
    </row>
    <row r="6">
      <c r="A6" s="5" t="inlineStr">
        <is>
          <t>2026-04-12</t>
        </is>
      </c>
      <c r="B6" s="5" t="n">
        <v>12</v>
      </c>
      <c r="C6" s="9" t="n">
        <v>0.4</v>
      </c>
      <c r="D6" s="6" t="n">
        <v>13074</v>
      </c>
      <c r="E6" s="6" t="n">
        <v>507729</v>
      </c>
      <c r="F6" s="6" t="n">
        <v>639530</v>
      </c>
      <c r="G6" s="6" t="n">
        <v>51443154</v>
      </c>
      <c r="H6" s="6" t="n">
        <v>44665757</v>
      </c>
      <c r="I6" s="6" t="n">
        <v>6777397</v>
      </c>
      <c r="J6" s="6" t="n">
        <v>427526066</v>
      </c>
      <c r="K6" s="6" t="n">
        <v>7033</v>
      </c>
      <c r="L6" s="6" t="n">
        <v>80988</v>
      </c>
      <c r="M6" s="7" t="n">
        <v>666.89</v>
      </c>
    </row>
    <row r="7">
      <c r="A7" s="5" t="inlineStr">
        <is>
          <t>2026-04-19</t>
        </is>
      </c>
      <c r="B7" s="5" t="n">
        <v>19</v>
      </c>
      <c r="C7" s="9" t="n">
        <v>0.6333333333333333</v>
      </c>
      <c r="D7" s="6" t="n">
        <v>20700</v>
      </c>
      <c r="E7" s="6" t="n">
        <v>803904</v>
      </c>
      <c r="F7" s="6" t="n">
        <v>1012589</v>
      </c>
      <c r="G7" s="6" t="n">
        <v>81451660</v>
      </c>
      <c r="H7" s="6" t="n">
        <v>70720781</v>
      </c>
      <c r="I7" s="6" t="n">
        <v>10730879</v>
      </c>
      <c r="J7" s="6" t="n">
        <v>676916271</v>
      </c>
      <c r="K7" s="6" t="n">
        <v>11136</v>
      </c>
      <c r="L7" s="6" t="n">
        <v>128231</v>
      </c>
      <c r="M7" s="7" t="n">
        <v>666.89</v>
      </c>
    </row>
    <row r="8">
      <c r="A8" s="5" t="inlineStr">
        <is>
          <t>2026-04-26</t>
        </is>
      </c>
      <c r="B8" s="5" t="n">
        <v>26</v>
      </c>
      <c r="C8" s="9" t="n">
        <v>0.8666666666666667</v>
      </c>
      <c r="D8" s="6" t="n">
        <v>28326</v>
      </c>
      <c r="E8" s="6" t="n">
        <v>1100079</v>
      </c>
      <c r="F8" s="6" t="n">
        <v>1385648</v>
      </c>
      <c r="G8" s="6" t="n">
        <v>111460166</v>
      </c>
      <c r="H8" s="6" t="n">
        <v>96775806</v>
      </c>
      <c r="I8" s="6" t="n">
        <v>14684361</v>
      </c>
      <c r="J8" s="6" t="n">
        <v>926306476</v>
      </c>
      <c r="K8" s="6" t="n">
        <v>15238</v>
      </c>
      <c r="L8" s="6" t="n">
        <v>175474</v>
      </c>
      <c r="M8" s="7" t="n">
        <v>666.89</v>
      </c>
    </row>
    <row r="9">
      <c r="A9" s="5" t="inlineStr">
        <is>
          <t>2026-04-30</t>
        </is>
      </c>
      <c r="B9" s="5" t="n">
        <v>30</v>
      </c>
      <c r="C9" s="9" t="n">
        <v>1</v>
      </c>
      <c r="D9" s="6" t="n">
        <v>32684</v>
      </c>
      <c r="E9" s="6" t="n">
        <v>1269322</v>
      </c>
      <c r="F9" s="6" t="n">
        <v>1598825</v>
      </c>
      <c r="G9" s="6" t="n">
        <v>128607884</v>
      </c>
      <c r="H9" s="6" t="n">
        <v>111664391</v>
      </c>
      <c r="I9" s="6" t="n">
        <v>16943493</v>
      </c>
      <c r="J9" s="6" t="n">
        <v>1068815164</v>
      </c>
      <c r="K9" s="6" t="n">
        <v>17583</v>
      </c>
      <c r="L9" s="6" t="n">
        <v>202470</v>
      </c>
      <c r="M9" s="7" t="n">
        <v>666.89</v>
      </c>
    </row>
    <row r="11">
      <c r="A11" s="10" t="inlineStr">
        <is>
          <t>月度总目标</t>
        </is>
      </c>
      <c r="D11" s="11" t="n">
        <v>32684</v>
      </c>
      <c r="E11" s="11" t="n">
        <v>1269322</v>
      </c>
      <c r="F11" s="11" t="n">
        <v>1598825</v>
      </c>
      <c r="G11" s="11" t="n">
        <v>128607884</v>
      </c>
      <c r="H11" s="11" t="n">
        <v>111664391</v>
      </c>
      <c r="I11" s="11" t="n">
        <v>16943493</v>
      </c>
      <c r="J11" s="11" t="n">
        <v>1068815164</v>
      </c>
      <c r="K11" s="11" t="n">
        <v>17583</v>
      </c>
      <c r="L11" s="11" t="n">
        <v>202470</v>
      </c>
      <c r="M11" s="12" t="n">
        <v>666.89</v>
      </c>
    </row>
    <row r="12">
      <c r="A12" s="13" t="inlineStr">
        <is>
          <t>实际累计</t>
        </is>
      </c>
    </row>
    <row r="13">
      <c r="A13" s="13" t="inlineStr">
        <is>
          <t>差异</t>
        </is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6" customWidth="1" min="3" max="3"/>
    <col width="50" customWidth="1" min="4" max="4"/>
    <col width="80" customWidth="1" min="5" max="5"/>
  </cols>
  <sheetData>
    <row r="1">
      <c r="A1" s="1" t="inlineStr">
        <is>
          <t>BG666 报表口径说明（2026-01-31 对齐确认）</t>
        </is>
      </c>
    </row>
    <row r="2">
      <c r="A2" s="2" t="inlineStr">
        <is>
          <t>所有指标已与后台 Excel 报表逐日对齐验证（12/27-1/3，8天全部 ✅）</t>
        </is>
      </c>
    </row>
    <row r="4">
      <c r="A4" s="4" t="inlineStr">
        <is>
          <t>指标</t>
        </is>
      </c>
      <c r="B4" s="4" t="inlineStr">
        <is>
          <t>DB 来源表</t>
        </is>
      </c>
      <c r="C4" s="4" t="inlineStr">
        <is>
          <t>DB 字段</t>
        </is>
      </c>
      <c r="D4" s="4" t="inlineStr">
        <is>
          <t>SQL 口径</t>
        </is>
      </c>
      <c r="E4" s="4" t="inlineStr">
        <is>
          <t>备注</t>
        </is>
      </c>
    </row>
    <row r="5">
      <c r="A5" s="5" t="inlineStr">
        <is>
          <t>注册人数</t>
        </is>
      </c>
      <c r="B5" s="5" t="inlineStr">
        <is>
          <t>channel_data_statistics</t>
        </is>
      </c>
      <c r="C5" s="5" t="inlineStr">
        <is>
          <t>register_number</t>
        </is>
      </c>
      <c r="D5" s="5" t="inlineStr">
        <is>
          <t>SUM(register_number) GROUP BY statistics_day</t>
        </is>
      </c>
      <c r="E5" s="5" t="inlineStr">
        <is>
          <t>当日新注册玩家数，汇总所有渠道。与 sys_player COUNT(create_time) 一致。</t>
        </is>
      </c>
    </row>
    <row r="6">
      <c r="A6" s="5" t="inlineStr">
        <is>
          <t>活跃人数</t>
        </is>
      </c>
      <c r="B6" s="5" t="inlineStr">
        <is>
          <t>channel_data_statistics</t>
        </is>
      </c>
      <c r="C6" s="5" t="inlineStr">
        <is>
          <t>active_number</t>
        </is>
      </c>
      <c r="D6" s="5" t="inlineStr">
        <is>
          <t>SUM(active_number) GROUP BY statistics_day</t>
        </is>
      </c>
      <c r="E6" s="5" t="inlineStr">
        <is>
          <t>当日至少登录一次的独立玩家数。与 player_logininfor COUNT(DISTINCT player_id) 一致。</t>
        </is>
      </c>
    </row>
    <row r="7">
      <c r="A7" s="5" t="inlineStr">
        <is>
          <t>ip人数</t>
        </is>
      </c>
      <c r="B7" s="5" t="inlineStr">
        <is>
          <t>channel_data_statistics</t>
        </is>
      </c>
      <c r="C7" s="5" t="inlineStr">
        <is>
          <t>ip_number</t>
        </is>
      </c>
      <c r="D7" s="5" t="inlineStr">
        <is>
          <t>SUM(ip_number) GROUP BY statistics_day</t>
        </is>
      </c>
      <c r="E7" s="5" t="inlineStr">
        <is>
          <t>当日独立 IP 数（含登录+注册）。注意 ip人数 &gt; 活跃人数，因为同一 IP 可能有未注册访问。不能从 player_logininfor DISTINCT ipaddr 得到（那个偏小约3600）。</t>
        </is>
      </c>
    </row>
    <row r="8">
      <c r="A8" s="5" t="inlineStr">
        <is>
          <t>充值</t>
        </is>
      </c>
      <c r="B8" s="5" t="inlineStr">
        <is>
          <t>channel_data_statistics</t>
        </is>
      </c>
      <c r="C8" s="5" t="inlineStr">
        <is>
          <t>recharge_amount</t>
        </is>
      </c>
      <c r="D8" s="5" t="inlineStr">
        <is>
          <t>SUM(recharge_amount) GROUP BY statistics_day</t>
        </is>
      </c>
      <c r="E8" s="5" t="inlineStr">
        <is>
          <t>当日成功充值订单总金额（₹）。与 player_recharge_order WHERE order_status=1 的 SUM(pay_amount) BY pay_date 一致。</t>
        </is>
      </c>
    </row>
    <row r="9">
      <c r="A9" s="5" t="inlineStr">
        <is>
          <t>提现</t>
        </is>
      </c>
      <c r="B9" s="5" t="inlineStr">
        <is>
          <t>channel_data_statistics</t>
        </is>
      </c>
      <c r="C9" s="5" t="inlineStr">
        <is>
          <t>withdraw_amount</t>
        </is>
      </c>
      <c r="D9" s="5" t="inlineStr">
        <is>
          <t>SUM(withdraw_amount) GROUP BY statistics_day</t>
        </is>
      </c>
      <c r="E9" s="5" t="inlineStr">
        <is>
          <t>当日成功提现订单总金额（₹）。与 player_withdraw_order WHERE order_status=3 的 SUM(withdraw_amount) BY finish_time 一致。注意：提现成功状态是 3（不是 1）。</t>
        </is>
      </c>
    </row>
    <row r="10">
      <c r="A10" s="5" t="inlineStr">
        <is>
          <t>充提差</t>
        </is>
      </c>
      <c r="B10" s="5" t="inlineStr">
        <is>
          <t>计算字段</t>
        </is>
      </c>
      <c r="C10" s="5" t="inlineStr">
        <is>
          <t>recharge - withdraw</t>
        </is>
      </c>
      <c r="D10" s="5" t="inlineStr">
        <is>
          <t>SUM(recharge_amount) - SUM(withdraw_amount)</t>
        </is>
      </c>
      <c r="E10" s="5" t="inlineStr">
        <is>
          <t>充值减提现。正=净流入，负=净流出。12/31 曾出现负值（-259,691）。核心健康指标。</t>
        </is>
      </c>
    </row>
    <row r="11">
      <c r="A11" s="5" t="inlineStr">
        <is>
          <t>总投注</t>
        </is>
      </c>
      <c r="B11" s="5" t="inlineStr">
        <is>
          <t>channel_game_statistics</t>
        </is>
      </c>
      <c r="C11" s="5" t="inlineStr">
        <is>
          <t>bet_amount</t>
        </is>
      </c>
      <c r="D11" s="5" t="inlineStr">
        <is>
          <t>SUM(bet_amount) GROUP BY statistics_day</t>
        </is>
      </c>
      <c r="E11" s="5" t="inlineStr">
        <is>
          <t>当日所有游戏总投注（₹），汇总所有渠道和游戏类型。⚠️ 不要用 player_statistics_day.bet_amount（有小差异，如12/27差10K）。以本表为准。</t>
        </is>
      </c>
    </row>
    <row r="12">
      <c r="A12" s="5" t="inlineStr">
        <is>
          <t>首充人数</t>
        </is>
      </c>
      <c r="B12" s="5" t="inlineStr">
        <is>
          <t>channel_data_statistics</t>
        </is>
      </c>
      <c r="C12" s="5" t="inlineStr">
        <is>
          <t>first_recharge_number</t>
        </is>
      </c>
      <c r="D12" s="5" t="inlineStr">
        <is>
          <t>SUM(first_recharge_number) GROUP BY statistics_day</t>
        </is>
      </c>
      <c r="E12" s="5" t="inlineStr">
        <is>
          <t>当日首次充值的玩家数（全历史首充）。与 player_recharge_order MIN(pay_date) per player 一致。⚠️ 不要用 first_deposit_record 表（二级数据，数字不准）。</t>
        </is>
      </c>
    </row>
    <row r="13">
      <c r="A13" s="5" t="inlineStr">
        <is>
          <t>充值人数</t>
        </is>
      </c>
      <c r="B13" s="5" t="inlineStr">
        <is>
          <t>channel_data_statistics</t>
        </is>
      </c>
      <c r="C13" s="5" t="inlineStr">
        <is>
          <t>recharge_number</t>
        </is>
      </c>
      <c r="D13" s="5" t="inlineStr">
        <is>
          <t>SUM(recharge_number) GROUP BY statistics_day</t>
        </is>
      </c>
      <c r="E13" s="5" t="inlineStr">
        <is>
          <t>当日有成功充值的独立玩家数。与 player_recharge_order WHERE order_status=1 的 COUNT(DISTINCT player_id) BY pay_date 一致。</t>
        </is>
      </c>
    </row>
    <row r="14">
      <c r="A14" s="5" t="inlineStr">
        <is>
          <t>人均充值</t>
        </is>
      </c>
      <c r="B14" s="5" t="inlineStr">
        <is>
          <t>计算字段</t>
        </is>
      </c>
      <c r="C14" s="5" t="inlineStr">
        <is>
          <t>充值 / 充值人数</t>
        </is>
      </c>
      <c r="D14" s="5" t="inlineStr">
        <is>
          <t>SUM(recharge_amount) / SUM(recharge_number)</t>
        </is>
      </c>
      <c r="E14" s="5" t="inlineStr">
        <is>
          <t>付费玩家平均充值深度（₹）。人均越高=大户贡献越大。</t>
        </is>
      </c>
    </row>
    <row r="17">
      <c r="A17" s="3" t="inlineStr">
        <is>
          <t>重要补充</t>
        </is>
      </c>
    </row>
    <row r="18">
      <c r="A18" t="inlineStr">
        <is>
          <t>1. 数据来源：channel_data_statistics（8个指标）+ channel_game_statistics（总投注）= 两张表覆盖全部 9 个指标。</t>
        </is>
      </c>
    </row>
    <row r="19">
      <c r="A19" t="inlineStr">
        <is>
          <t>2. 基准期：2025-12-01 ~ 2026-01-30，共 61 天。</t>
        </is>
      </c>
    </row>
    <row r="20">
      <c r="A20" t="inlineStr">
        <is>
          <t>3. 预期计算：日均 × 天数 × (1 + 增长率)。增长率统一 5%。</t>
        </is>
      </c>
    </row>
    <row r="21">
      <c r="A21" t="inlineStr">
        <is>
          <t>4. 周结算日：每周日 + 月末（如果月末不是周日则额外加入）。</t>
        </is>
      </c>
    </row>
    <row r="22">
      <c r="A22" t="inlineStr">
        <is>
          <t>5. 充提差中的提现口径：order_status=3 表示成功（不是 1），时间用 finish_time（完成时间，不是 apply_time）。</t>
        </is>
      </c>
    </row>
    <row r="23">
      <c r="A23" t="inlineStr">
        <is>
          <t>6. 总投注必须用 channel_game_statistics，不能用 player_statistics_day（后者12/27差10K，12/29差350，1/3差160）。</t>
        </is>
      </c>
    </row>
    <row r="24">
      <c r="A24" t="inlineStr">
        <is>
          <t>7. ip人数必须用 channel_data_statistics.ip_number，不能从 player_logininfor DISTINCT ipaddr 推算（偏小约3600-4400/天）。</t>
        </is>
      </c>
    </row>
    <row r="25">
      <c r="A25" t="inlineStr">
        <is>
          <t>8. 首充必须从 player_recharge_order MIN(pay_date) 推导，不能用 first_deposit_record 表（二级数据）。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2026-01-31T12:56:58Z</dcterms:created>
  <dcterms:modified xsi:type="dcterms:W3CDTF">2026-01-31T12:56:58Z</dcterms:modified>
</cp:coreProperties>
</file>