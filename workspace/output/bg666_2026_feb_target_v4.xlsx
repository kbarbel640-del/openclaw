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2月" sheetId="2" state="visible" r:id="rId2"/>
    <sheet name="3月" sheetId="3" state="visible" r:id="rId3"/>
    <sheet name="4月" sheetId="4" state="visible" r:id="rId4"/>
    <sheet name="口径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BG666 2026 2-4月 周预期进度表 | 基准期 2025-12-01~2026-01-30</t>
        </is>
      </c>
    </row>
    <row r="2">
      <c r="A2" t="inlineStr">
        <is>
          <t>指标</t>
        </is>
      </c>
      <c r="B2" t="inlineStr">
        <is>
          <t>61天总量</t>
        </is>
      </c>
      <c r="C2" t="inlineStr">
        <is>
          <t>日均</t>
        </is>
      </c>
      <c r="D2" t="inlineStr">
        <is>
          <t>DB口径</t>
        </is>
      </c>
    </row>
    <row r="3">
      <c r="A3" t="inlineStr">
        <is>
          <t>注册人数</t>
        </is>
      </c>
      <c r="B3" t="n">
        <v>63293</v>
      </c>
      <c r="C3" t="n">
        <v>1037.59</v>
      </c>
      <c r="D3" t="inlineStr">
        <is>
          <t>channel_data_statistics.register_number</t>
        </is>
      </c>
    </row>
    <row r="4">
      <c r="A4" t="inlineStr">
        <is>
          <t>活跃人数</t>
        </is>
      </c>
      <c r="B4" t="n">
        <v>2458053</v>
      </c>
      <c r="C4" t="n">
        <v>40295.95</v>
      </c>
      <c r="D4" t="inlineStr">
        <is>
          <t>channel_data_statistics.active_number</t>
        </is>
      </c>
    </row>
    <row r="5">
      <c r="A5" t="inlineStr">
        <is>
          <t>ip人数</t>
        </is>
      </c>
      <c r="B5" t="n">
        <v>3096137</v>
      </c>
      <c r="C5" t="n">
        <v>50756.34</v>
      </c>
      <c r="D5" t="inlineStr">
        <is>
          <t>channel_data_statistics.ip_number</t>
        </is>
      </c>
    </row>
    <row r="6">
      <c r="A6" t="inlineStr">
        <is>
          <t>充值</t>
        </is>
      </c>
      <c r="B6" t="n">
        <v>249050189</v>
      </c>
      <c r="C6" t="n">
        <v>4082789.98</v>
      </c>
      <c r="D6" t="inlineStr">
        <is>
          <t>channel_data_statistics.recharge_amount (order_status=1)</t>
        </is>
      </c>
    </row>
    <row r="7">
      <c r="A7" t="inlineStr">
        <is>
          <t>提现</t>
        </is>
      </c>
      <c r="B7" t="n">
        <v>216238980</v>
      </c>
      <c r="C7" t="n">
        <v>3544901.31</v>
      </c>
      <c r="D7" t="inlineStr">
        <is>
          <t>channel_data_statistics.withdraw_amount (order_status=3, finish_time)</t>
        </is>
      </c>
    </row>
    <row r="8">
      <c r="A8" t="inlineStr">
        <is>
          <t>充提差</t>
        </is>
      </c>
      <c r="B8" t="n">
        <v>32811209</v>
      </c>
      <c r="C8" t="n">
        <v>537888.67</v>
      </c>
      <c r="D8" t="inlineStr">
        <is>
          <t>充值 - 提现（计算字段）</t>
        </is>
      </c>
    </row>
    <row r="9">
      <c r="A9" t="inlineStr">
        <is>
          <t>总投注</t>
        </is>
      </c>
      <c r="B9" t="n">
        <v>2069769048.72</v>
      </c>
      <c r="C9" t="n">
        <v>33930640.14</v>
      </c>
      <c r="D9" t="inlineStr">
        <is>
          <t>channel_game_statistics.bet_amount（不用player_statistics_day）</t>
        </is>
      </c>
    </row>
    <row r="10">
      <c r="A10" t="inlineStr">
        <is>
          <t>首充人数</t>
        </is>
      </c>
      <c r="B10" t="n">
        <v>34049</v>
      </c>
      <c r="C10" t="n">
        <v>558.1799999999999</v>
      </c>
      <c r="D10" t="inlineStr">
        <is>
          <t>channel_data_statistics.first_recharge_number（全历史首充）</t>
        </is>
      </c>
    </row>
    <row r="11">
      <c r="A11" t="inlineStr">
        <is>
          <t>充值人数</t>
        </is>
      </c>
      <c r="B11" t="n">
        <v>392084</v>
      </c>
      <c r="C11" t="n">
        <v>6427.61</v>
      </c>
      <c r="D11" t="inlineStr">
        <is>
          <t>channel_data_statistics.recharge_number</t>
        </is>
      </c>
    </row>
    <row r="12">
      <c r="A12" t="inlineStr">
        <is>
          <t>人均充值</t>
        </is>
      </c>
      <c r="B12" t="inlineStr"/>
      <c r="C12" t="n">
        <v>635.13</v>
      </c>
      <c r="D12" t="inlineStr">
        <is>
          <t>充值 / 充值人数（计算字段）</t>
        </is>
      </c>
    </row>
    <row r="14">
      <c r="A14" t="inlineStr">
        <is>
          <t>月度预期总览（日均 x 天数 x (1+增长率5%)）</t>
        </is>
      </c>
    </row>
    <row r="15">
      <c r="A15" t="inlineStr">
        <is>
          <t>月份</t>
        </is>
      </c>
      <c r="B15" t="inlineStr">
        <is>
          <t>天数</t>
        </is>
      </c>
      <c r="C15" t="inlineStr">
        <is>
          <t>增长</t>
        </is>
      </c>
      <c r="D15" t="inlineStr">
        <is>
          <t>预期注册</t>
        </is>
      </c>
      <c r="E15" t="inlineStr">
        <is>
          <t>预期充值</t>
        </is>
      </c>
      <c r="F15" t="inlineStr">
        <is>
          <t>预期投注</t>
        </is>
      </c>
      <c r="G15" t="inlineStr">
        <is>
          <t>预期首充</t>
        </is>
      </c>
      <c r="H15" t="inlineStr">
        <is>
          <t>预期充值人数</t>
        </is>
      </c>
    </row>
    <row r="16">
      <c r="A16" t="inlineStr">
        <is>
          <t>2026-02</t>
        </is>
      </c>
      <c r="B16" t="n">
        <v>28</v>
      </c>
      <c r="C16" t="inlineStr">
        <is>
          <t>5%</t>
        </is>
      </c>
      <c r="D16" t="n">
        <v>30505</v>
      </c>
      <c r="E16" t="n">
        <v>120034025</v>
      </c>
      <c r="F16" t="n">
        <v>997560820</v>
      </c>
      <c r="G16" t="n">
        <v>16410</v>
      </c>
      <c r="H16" t="n">
        <v>188972</v>
      </c>
    </row>
    <row r="17">
      <c r="A17" t="inlineStr">
        <is>
          <t>2026-03</t>
        </is>
      </c>
      <c r="B17" t="n">
        <v>31</v>
      </c>
      <c r="C17" t="inlineStr">
        <is>
          <t>5%</t>
        </is>
      </c>
      <c r="D17" t="n">
        <v>33774</v>
      </c>
      <c r="E17" t="n">
        <v>132894814</v>
      </c>
      <c r="F17" t="n">
        <v>1104442337</v>
      </c>
      <c r="G17" t="n">
        <v>18169</v>
      </c>
      <c r="H17" t="n">
        <v>209219</v>
      </c>
    </row>
    <row r="18">
      <c r="A18" t="inlineStr">
        <is>
          <t>2026-04</t>
        </is>
      </c>
      <c r="B18" t="n">
        <v>30</v>
      </c>
      <c r="C18" t="inlineStr">
        <is>
          <t>5%</t>
        </is>
      </c>
      <c r="D18" t="n">
        <v>32684</v>
      </c>
      <c r="E18" t="n">
        <v>128607884</v>
      </c>
      <c r="F18" t="n">
        <v>1068815164</v>
      </c>
      <c r="G18" t="n">
        <v>17583</v>
      </c>
      <c r="H18" t="n">
        <v>202470</v>
      </c>
    </row>
    <row r="20">
      <c r="A20" t="inlineStr">
        <is>
          <t>预期指标口径说明</t>
        </is>
      </c>
    </row>
    <row r="21">
      <c r="A21" t="inlineStr">
        <is>
          <t>预期指标</t>
        </is>
      </c>
      <c r="B21" t="inlineStr">
        <is>
          <t>口径说明</t>
        </is>
      </c>
    </row>
    <row r="22">
      <c r="A22" t="inlineStr">
        <is>
          <t>预期注册</t>
        </is>
      </c>
      <c r="B22">
        <f> 注册人数日均 x 天数 x (1+增长率)。来源：channel_data_statistics.register_number</f>
        <v/>
      </c>
    </row>
    <row r="23">
      <c r="A23" t="inlineStr">
        <is>
          <t>预期充值</t>
        </is>
      </c>
      <c r="B23">
        <f> 充值日均 x 天数 x (1+增长率)。来源：channel_data_statistics.recharge_amount (order_status=1)</f>
        <v/>
      </c>
    </row>
    <row r="24">
      <c r="A24" t="inlineStr">
        <is>
          <t>预期投注</t>
        </is>
      </c>
      <c r="B24">
        <f> 总投注日均 x 天数 x (1+增长率)。来源：channel_game_statistics.bet_amount（不用player_statistics_day）</f>
        <v/>
      </c>
    </row>
    <row r="25">
      <c r="A25" t="inlineStr">
        <is>
          <t>预期首充</t>
        </is>
      </c>
      <c r="B25">
        <f> 首充人数日均 x 天数 x (1+增长率)。来源：channel_data_statistics.first_recharge_number（全历史首充）</f>
        <v/>
      </c>
    </row>
    <row r="26">
      <c r="A26" t="inlineStr">
        <is>
          <t>预期充值人数</t>
        </is>
      </c>
      <c r="B26">
        <f> 充值人数日均 x 天数 x (1+增长率)。来源：channel_data_statistics.recharge_number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 2月 周预期进度 | 增长假设 5%</t>
        </is>
      </c>
    </row>
    <row r="2">
      <c r="A2" t="inlineStr">
        <is>
          <t>周结算日</t>
        </is>
      </c>
      <c r="B2" t="inlineStr">
        <is>
          <t>累计天数</t>
        </is>
      </c>
      <c r="C2" t="inlineStr">
        <is>
          <t>时间进度</t>
        </is>
      </c>
      <c r="D2" t="inlineStr">
        <is>
          <t>注册人数</t>
        </is>
      </c>
      <c r="E2" t="inlineStr">
        <is>
          <t>活跃人数</t>
        </is>
      </c>
      <c r="F2" t="inlineStr">
        <is>
          <t>ip人数</t>
        </is>
      </c>
      <c r="G2" t="inlineStr">
        <is>
          <t>充值</t>
        </is>
      </c>
      <c r="H2" t="inlineStr">
        <is>
          <t>提现</t>
        </is>
      </c>
      <c r="I2" t="inlineStr">
        <is>
          <t>充提差</t>
        </is>
      </c>
      <c r="J2" t="inlineStr">
        <is>
          <t>总投注</t>
        </is>
      </c>
      <c r="K2" t="inlineStr">
        <is>
          <t>首充人数</t>
        </is>
      </c>
      <c r="L2" t="inlineStr">
        <is>
          <t>充值人数</t>
        </is>
      </c>
      <c r="M2" t="inlineStr">
        <is>
          <t>人均充值</t>
        </is>
      </c>
    </row>
    <row r="3">
      <c r="A3" t="inlineStr">
        <is>
          <t>2026-02-01</t>
        </is>
      </c>
      <c r="B3" t="n">
        <v>1</v>
      </c>
      <c r="C3" t="inlineStr">
        <is>
          <t>3.6%</t>
        </is>
      </c>
      <c r="D3" t="n">
        <v>1089</v>
      </c>
      <c r="E3" t="n">
        <v>42311</v>
      </c>
      <c r="F3" t="n">
        <v>53294</v>
      </c>
      <c r="G3" t="n">
        <v>4286929</v>
      </c>
      <c r="H3" t="n">
        <v>3722146</v>
      </c>
      <c r="I3" t="n">
        <v>564783</v>
      </c>
      <c r="J3" t="n">
        <v>35627172</v>
      </c>
      <c r="K3" t="n">
        <v>586</v>
      </c>
      <c r="L3" t="n">
        <v>6749</v>
      </c>
      <c r="M3" t="n">
        <v>666.89</v>
      </c>
    </row>
    <row r="4">
      <c r="A4" t="inlineStr">
        <is>
          <t>2026-02-08</t>
        </is>
      </c>
      <c r="B4" t="n">
        <v>8</v>
      </c>
      <c r="C4" t="inlineStr">
        <is>
          <t>28.6%</t>
        </is>
      </c>
      <c r="D4" t="n">
        <v>8716</v>
      </c>
      <c r="E4" t="n">
        <v>338486</v>
      </c>
      <c r="F4" t="n">
        <v>426353</v>
      </c>
      <c r="G4" t="n">
        <v>34295436</v>
      </c>
      <c r="H4" t="n">
        <v>29777171</v>
      </c>
      <c r="I4" t="n">
        <v>4518265</v>
      </c>
      <c r="J4" t="n">
        <v>285017377</v>
      </c>
      <c r="K4" t="n">
        <v>4689</v>
      </c>
      <c r="L4" t="n">
        <v>53992</v>
      </c>
      <c r="M4" t="n">
        <v>666.89</v>
      </c>
    </row>
    <row r="5">
      <c r="A5" t="inlineStr">
        <is>
          <t>2026-02-15</t>
        </is>
      </c>
      <c r="B5" t="n">
        <v>15</v>
      </c>
      <c r="C5" t="inlineStr">
        <is>
          <t>53.6%</t>
        </is>
      </c>
      <c r="D5" t="n">
        <v>16342</v>
      </c>
      <c r="E5" t="n">
        <v>634661</v>
      </c>
      <c r="F5" t="n">
        <v>799412</v>
      </c>
      <c r="G5" t="n">
        <v>64303942</v>
      </c>
      <c r="H5" t="n">
        <v>55832196</v>
      </c>
      <c r="I5" t="n">
        <v>8471747</v>
      </c>
      <c r="J5" t="n">
        <v>534407582</v>
      </c>
      <c r="K5" t="n">
        <v>8791</v>
      </c>
      <c r="L5" t="n">
        <v>101235</v>
      </c>
      <c r="M5" t="n">
        <v>666.89</v>
      </c>
    </row>
    <row r="6">
      <c r="A6" t="inlineStr">
        <is>
          <t>2026-02-22</t>
        </is>
      </c>
      <c r="B6" t="n">
        <v>22</v>
      </c>
      <c r="C6" t="inlineStr">
        <is>
          <t>78.6%</t>
        </is>
      </c>
      <c r="D6" t="n">
        <v>23968</v>
      </c>
      <c r="E6" t="n">
        <v>930836</v>
      </c>
      <c r="F6" t="n">
        <v>1172471</v>
      </c>
      <c r="G6" t="n">
        <v>94312449</v>
      </c>
      <c r="H6" t="n">
        <v>81887220</v>
      </c>
      <c r="I6" t="n">
        <v>12425228</v>
      </c>
      <c r="J6" t="n">
        <v>783797787</v>
      </c>
      <c r="K6" t="n">
        <v>12894</v>
      </c>
      <c r="L6" t="n">
        <v>148478</v>
      </c>
      <c r="M6" t="n">
        <v>666.89</v>
      </c>
    </row>
    <row r="7">
      <c r="A7" t="inlineStr">
        <is>
          <t>2026-02-28</t>
        </is>
      </c>
      <c r="B7" t="n">
        <v>28</v>
      </c>
      <c r="C7" t="inlineStr">
        <is>
          <t>100.0%</t>
        </is>
      </c>
      <c r="D7" t="n">
        <v>30505</v>
      </c>
      <c r="E7" t="n">
        <v>1184701</v>
      </c>
      <c r="F7" t="n">
        <v>1492236</v>
      </c>
      <c r="G7" t="n">
        <v>120034025</v>
      </c>
      <c r="H7" t="n">
        <v>104220099</v>
      </c>
      <c r="I7" t="n">
        <v>15813927</v>
      </c>
      <c r="J7" t="n">
        <v>997560820</v>
      </c>
      <c r="K7" t="n">
        <v>16410</v>
      </c>
      <c r="L7" t="n">
        <v>188972</v>
      </c>
      <c r="M7" t="n">
        <v>666.89</v>
      </c>
    </row>
    <row r="8">
      <c r="A8" t="inlineStr">
        <is>
          <t>月度总目标</t>
        </is>
      </c>
      <c r="B8" t="n">
        <v>28</v>
      </c>
      <c r="C8" t="inlineStr">
        <is>
          <t>100%</t>
        </is>
      </c>
      <c r="D8" t="n">
        <v>30505</v>
      </c>
      <c r="E8" t="n">
        <v>1184701</v>
      </c>
      <c r="F8" t="n">
        <v>1492236</v>
      </c>
      <c r="G8" t="n">
        <v>120034025</v>
      </c>
      <c r="H8" t="n">
        <v>104220099</v>
      </c>
      <c r="I8" t="n">
        <v>15813927</v>
      </c>
      <c r="J8" t="n">
        <v>997560820</v>
      </c>
      <c r="K8" t="n">
        <v>16410</v>
      </c>
      <c r="L8" t="n">
        <v>188972</v>
      </c>
      <c r="M8" t="n">
        <v>666.89</v>
      </c>
    </row>
    <row r="9">
      <c r="A9" t="inlineStr">
        <is>
          <t>实际累计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差异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 3月 周预期进度 | 增长假设 5%</t>
        </is>
      </c>
    </row>
    <row r="2">
      <c r="A2" t="inlineStr">
        <is>
          <t>周结算日</t>
        </is>
      </c>
      <c r="B2" t="inlineStr">
        <is>
          <t>累计天数</t>
        </is>
      </c>
      <c r="C2" t="inlineStr">
        <is>
          <t>时间进度</t>
        </is>
      </c>
      <c r="D2" t="inlineStr">
        <is>
          <t>注册人数</t>
        </is>
      </c>
      <c r="E2" t="inlineStr">
        <is>
          <t>活跃人数</t>
        </is>
      </c>
      <c r="F2" t="inlineStr">
        <is>
          <t>ip人数</t>
        </is>
      </c>
      <c r="G2" t="inlineStr">
        <is>
          <t>充值</t>
        </is>
      </c>
      <c r="H2" t="inlineStr">
        <is>
          <t>提现</t>
        </is>
      </c>
      <c r="I2" t="inlineStr">
        <is>
          <t>充提差</t>
        </is>
      </c>
      <c r="J2" t="inlineStr">
        <is>
          <t>总投注</t>
        </is>
      </c>
      <c r="K2" t="inlineStr">
        <is>
          <t>首充人数</t>
        </is>
      </c>
      <c r="L2" t="inlineStr">
        <is>
          <t>充值人数</t>
        </is>
      </c>
      <c r="M2" t="inlineStr">
        <is>
          <t>人均充值</t>
        </is>
      </c>
    </row>
    <row r="3">
      <c r="A3" t="inlineStr">
        <is>
          <t>2026-03-01</t>
        </is>
      </c>
      <c r="B3" t="n">
        <v>1</v>
      </c>
      <c r="C3" t="inlineStr">
        <is>
          <t>3.2%</t>
        </is>
      </c>
      <c r="D3" t="n">
        <v>1089</v>
      </c>
      <c r="E3" t="n">
        <v>42311</v>
      </c>
      <c r="F3" t="n">
        <v>53294</v>
      </c>
      <c r="G3" t="n">
        <v>4286929</v>
      </c>
      <c r="H3" t="n">
        <v>3722146</v>
      </c>
      <c r="I3" t="n">
        <v>564783</v>
      </c>
      <c r="J3" t="n">
        <v>35627172</v>
      </c>
      <c r="K3" t="n">
        <v>586</v>
      </c>
      <c r="L3" t="n">
        <v>6749</v>
      </c>
      <c r="M3" t="n">
        <v>666.89</v>
      </c>
    </row>
    <row r="4">
      <c r="A4" t="inlineStr">
        <is>
          <t>2026-03-08</t>
        </is>
      </c>
      <c r="B4" t="n">
        <v>8</v>
      </c>
      <c r="C4" t="inlineStr">
        <is>
          <t>25.8%</t>
        </is>
      </c>
      <c r="D4" t="n">
        <v>8716</v>
      </c>
      <c r="E4" t="n">
        <v>338486</v>
      </c>
      <c r="F4" t="n">
        <v>426353</v>
      </c>
      <c r="G4" t="n">
        <v>34295436</v>
      </c>
      <c r="H4" t="n">
        <v>29777171</v>
      </c>
      <c r="I4" t="n">
        <v>4518265</v>
      </c>
      <c r="J4" t="n">
        <v>285017377</v>
      </c>
      <c r="K4" t="n">
        <v>4689</v>
      </c>
      <c r="L4" t="n">
        <v>53992</v>
      </c>
      <c r="M4" t="n">
        <v>666.89</v>
      </c>
    </row>
    <row r="5">
      <c r="A5" t="inlineStr">
        <is>
          <t>2026-03-15</t>
        </is>
      </c>
      <c r="B5" t="n">
        <v>15</v>
      </c>
      <c r="C5" t="inlineStr">
        <is>
          <t>48.4%</t>
        </is>
      </c>
      <c r="D5" t="n">
        <v>16342</v>
      </c>
      <c r="E5" t="n">
        <v>634661</v>
      </c>
      <c r="F5" t="n">
        <v>799412</v>
      </c>
      <c r="G5" t="n">
        <v>64303942</v>
      </c>
      <c r="H5" t="n">
        <v>55832196</v>
      </c>
      <c r="I5" t="n">
        <v>8471747</v>
      </c>
      <c r="J5" t="n">
        <v>534407582</v>
      </c>
      <c r="K5" t="n">
        <v>8791</v>
      </c>
      <c r="L5" t="n">
        <v>101235</v>
      </c>
      <c r="M5" t="n">
        <v>666.89</v>
      </c>
    </row>
    <row r="6">
      <c r="A6" t="inlineStr">
        <is>
          <t>2026-03-22</t>
        </is>
      </c>
      <c r="B6" t="n">
        <v>22</v>
      </c>
      <c r="C6" t="inlineStr">
        <is>
          <t>71.0%</t>
        </is>
      </c>
      <c r="D6" t="n">
        <v>23968</v>
      </c>
      <c r="E6" t="n">
        <v>930836</v>
      </c>
      <c r="F6" t="n">
        <v>1172471</v>
      </c>
      <c r="G6" t="n">
        <v>94312449</v>
      </c>
      <c r="H6" t="n">
        <v>81887220</v>
      </c>
      <c r="I6" t="n">
        <v>12425228</v>
      </c>
      <c r="J6" t="n">
        <v>783797787</v>
      </c>
      <c r="K6" t="n">
        <v>12894</v>
      </c>
      <c r="L6" t="n">
        <v>148478</v>
      </c>
      <c r="M6" t="n">
        <v>666.89</v>
      </c>
    </row>
    <row r="7">
      <c r="A7" t="inlineStr">
        <is>
          <t>2026-03-29</t>
        </is>
      </c>
      <c r="B7" t="n">
        <v>29</v>
      </c>
      <c r="C7" t="inlineStr">
        <is>
          <t>93.5%</t>
        </is>
      </c>
      <c r="D7" t="n">
        <v>31595</v>
      </c>
      <c r="E7" t="n">
        <v>1227012</v>
      </c>
      <c r="F7" t="n">
        <v>1545531</v>
      </c>
      <c r="G7" t="n">
        <v>124320955</v>
      </c>
      <c r="H7" t="n">
        <v>107942245</v>
      </c>
      <c r="I7" t="n">
        <v>16378710</v>
      </c>
      <c r="J7" t="n">
        <v>1033187992</v>
      </c>
      <c r="K7" t="n">
        <v>16997</v>
      </c>
      <c r="L7" t="n">
        <v>195721</v>
      </c>
      <c r="M7" t="n">
        <v>666.89</v>
      </c>
    </row>
    <row r="8">
      <c r="A8" t="inlineStr">
        <is>
          <t>2026-03-31</t>
        </is>
      </c>
      <c r="B8" t="n">
        <v>31</v>
      </c>
      <c r="C8" t="inlineStr">
        <is>
          <t>100.0%</t>
        </is>
      </c>
      <c r="D8" t="n">
        <v>33774</v>
      </c>
      <c r="E8" t="n">
        <v>1311633</v>
      </c>
      <c r="F8" t="n">
        <v>1652119</v>
      </c>
      <c r="G8" t="n">
        <v>132894814</v>
      </c>
      <c r="H8" t="n">
        <v>115386538</v>
      </c>
      <c r="I8" t="n">
        <v>17508276</v>
      </c>
      <c r="J8" t="n">
        <v>1104442337</v>
      </c>
      <c r="K8" t="n">
        <v>18169</v>
      </c>
      <c r="L8" t="n">
        <v>209219</v>
      </c>
      <c r="M8" t="n">
        <v>666.89</v>
      </c>
    </row>
    <row r="9">
      <c r="A9" t="inlineStr">
        <is>
          <t>月度总目标</t>
        </is>
      </c>
      <c r="B9" t="n">
        <v>31</v>
      </c>
      <c r="C9" t="inlineStr">
        <is>
          <t>100%</t>
        </is>
      </c>
      <c r="D9" t="n">
        <v>33774</v>
      </c>
      <c r="E9" t="n">
        <v>1311633</v>
      </c>
      <c r="F9" t="n">
        <v>1652119</v>
      </c>
      <c r="G9" t="n">
        <v>132894814</v>
      </c>
      <c r="H9" t="n">
        <v>115386538</v>
      </c>
      <c r="I9" t="n">
        <v>17508276</v>
      </c>
      <c r="J9" t="n">
        <v>1104442337</v>
      </c>
      <c r="K9" t="n">
        <v>18169</v>
      </c>
      <c r="L9" t="n">
        <v>209219</v>
      </c>
      <c r="M9" t="n">
        <v>666.89</v>
      </c>
    </row>
    <row r="10">
      <c r="A10" t="inlineStr">
        <is>
          <t>实际累计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差异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 4月 周预期进度 | 增长假设 5%</t>
        </is>
      </c>
    </row>
    <row r="2">
      <c r="A2" t="inlineStr">
        <is>
          <t>周结算日</t>
        </is>
      </c>
      <c r="B2" t="inlineStr">
        <is>
          <t>累计天数</t>
        </is>
      </c>
      <c r="C2" t="inlineStr">
        <is>
          <t>时间进度</t>
        </is>
      </c>
      <c r="D2" t="inlineStr">
        <is>
          <t>注册人数</t>
        </is>
      </c>
      <c r="E2" t="inlineStr">
        <is>
          <t>活跃人数</t>
        </is>
      </c>
      <c r="F2" t="inlineStr">
        <is>
          <t>ip人数</t>
        </is>
      </c>
      <c r="G2" t="inlineStr">
        <is>
          <t>充值</t>
        </is>
      </c>
      <c r="H2" t="inlineStr">
        <is>
          <t>提现</t>
        </is>
      </c>
      <c r="I2" t="inlineStr">
        <is>
          <t>充提差</t>
        </is>
      </c>
      <c r="J2" t="inlineStr">
        <is>
          <t>总投注</t>
        </is>
      </c>
      <c r="K2" t="inlineStr">
        <is>
          <t>首充人数</t>
        </is>
      </c>
      <c r="L2" t="inlineStr">
        <is>
          <t>充值人数</t>
        </is>
      </c>
      <c r="M2" t="inlineStr">
        <is>
          <t>人均充值</t>
        </is>
      </c>
    </row>
    <row r="3">
      <c r="A3" t="inlineStr">
        <is>
          <t>2026-04-05</t>
        </is>
      </c>
      <c r="B3" t="n">
        <v>5</v>
      </c>
      <c r="C3" t="inlineStr">
        <is>
          <t>16.7%</t>
        </is>
      </c>
      <c r="D3" t="n">
        <v>5447</v>
      </c>
      <c r="E3" t="n">
        <v>211554</v>
      </c>
      <c r="F3" t="n">
        <v>266471</v>
      </c>
      <c r="G3" t="n">
        <v>21434647</v>
      </c>
      <c r="H3" t="n">
        <v>18610732</v>
      </c>
      <c r="I3" t="n">
        <v>2823916</v>
      </c>
      <c r="J3" t="n">
        <v>178135861</v>
      </c>
      <c r="K3" t="n">
        <v>2930</v>
      </c>
      <c r="L3" t="n">
        <v>33745</v>
      </c>
      <c r="M3" t="n">
        <v>666.89</v>
      </c>
    </row>
    <row r="4">
      <c r="A4" t="inlineStr">
        <is>
          <t>2026-04-12</t>
        </is>
      </c>
      <c r="B4" t="n">
        <v>12</v>
      </c>
      <c r="C4" t="inlineStr">
        <is>
          <t>40.0%</t>
        </is>
      </c>
      <c r="D4" t="n">
        <v>13074</v>
      </c>
      <c r="E4" t="n">
        <v>507729</v>
      </c>
      <c r="F4" t="n">
        <v>639530</v>
      </c>
      <c r="G4" t="n">
        <v>51443154</v>
      </c>
      <c r="H4" t="n">
        <v>44665757</v>
      </c>
      <c r="I4" t="n">
        <v>6777397</v>
      </c>
      <c r="J4" t="n">
        <v>427526066</v>
      </c>
      <c r="K4" t="n">
        <v>7033</v>
      </c>
      <c r="L4" t="n">
        <v>80988</v>
      </c>
      <c r="M4" t="n">
        <v>666.89</v>
      </c>
    </row>
    <row r="5">
      <c r="A5" t="inlineStr">
        <is>
          <t>2026-04-19</t>
        </is>
      </c>
      <c r="B5" t="n">
        <v>19</v>
      </c>
      <c r="C5" t="inlineStr">
        <is>
          <t>63.3%</t>
        </is>
      </c>
      <c r="D5" t="n">
        <v>20700</v>
      </c>
      <c r="E5" t="n">
        <v>803904</v>
      </c>
      <c r="F5" t="n">
        <v>1012589</v>
      </c>
      <c r="G5" t="n">
        <v>81451660</v>
      </c>
      <c r="H5" t="n">
        <v>70720781</v>
      </c>
      <c r="I5" t="n">
        <v>10730879</v>
      </c>
      <c r="J5" t="n">
        <v>676916271</v>
      </c>
      <c r="K5" t="n">
        <v>11136</v>
      </c>
      <c r="L5" t="n">
        <v>128231</v>
      </c>
      <c r="M5" t="n">
        <v>666.89</v>
      </c>
    </row>
    <row r="6">
      <c r="A6" t="inlineStr">
        <is>
          <t>2026-04-26</t>
        </is>
      </c>
      <c r="B6" t="n">
        <v>26</v>
      </c>
      <c r="C6" t="inlineStr">
        <is>
          <t>86.7%</t>
        </is>
      </c>
      <c r="D6" t="n">
        <v>28326</v>
      </c>
      <c r="E6" t="n">
        <v>1100079</v>
      </c>
      <c r="F6" t="n">
        <v>1385648</v>
      </c>
      <c r="G6" t="n">
        <v>111460166</v>
      </c>
      <c r="H6" t="n">
        <v>96775806</v>
      </c>
      <c r="I6" t="n">
        <v>14684361</v>
      </c>
      <c r="J6" t="n">
        <v>926306476</v>
      </c>
      <c r="K6" t="n">
        <v>15238</v>
      </c>
      <c r="L6" t="n">
        <v>175474</v>
      </c>
      <c r="M6" t="n">
        <v>666.89</v>
      </c>
    </row>
    <row r="7">
      <c r="A7" t="inlineStr">
        <is>
          <t>2026-04-30</t>
        </is>
      </c>
      <c r="B7" t="n">
        <v>30</v>
      </c>
      <c r="C7" t="inlineStr">
        <is>
          <t>100.0%</t>
        </is>
      </c>
      <c r="D7" t="n">
        <v>32684</v>
      </c>
      <c r="E7" t="n">
        <v>1269322</v>
      </c>
      <c r="F7" t="n">
        <v>1598825</v>
      </c>
      <c r="G7" t="n">
        <v>128607884</v>
      </c>
      <c r="H7" t="n">
        <v>111664391</v>
      </c>
      <c r="I7" t="n">
        <v>16943493</v>
      </c>
      <c r="J7" t="n">
        <v>1068815164</v>
      </c>
      <c r="K7" t="n">
        <v>17583</v>
      </c>
      <c r="L7" t="n">
        <v>202470</v>
      </c>
      <c r="M7" t="n">
        <v>666.89</v>
      </c>
    </row>
    <row r="8">
      <c r="A8" t="inlineStr">
        <is>
          <t>月度总目标</t>
        </is>
      </c>
      <c r="B8" t="n">
        <v>30</v>
      </c>
      <c r="C8" t="inlineStr">
        <is>
          <t>100%</t>
        </is>
      </c>
      <c r="D8" t="n">
        <v>32684</v>
      </c>
      <c r="E8" t="n">
        <v>1269322</v>
      </c>
      <c r="F8" t="n">
        <v>1598825</v>
      </c>
      <c r="G8" t="n">
        <v>128607884</v>
      </c>
      <c r="H8" t="n">
        <v>111664391</v>
      </c>
      <c r="I8" t="n">
        <v>16943493</v>
      </c>
      <c r="J8" t="n">
        <v>1068815164</v>
      </c>
      <c r="K8" t="n">
        <v>17583</v>
      </c>
      <c r="L8" t="n">
        <v>202470</v>
      </c>
      <c r="M8" t="n">
        <v>666.89</v>
      </c>
    </row>
    <row r="9">
      <c r="A9" t="inlineStr">
        <is>
          <t>实际累计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差异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BG666 报表口径说明 | 已与后台逐日对齐验证</t>
        </is>
      </c>
    </row>
    <row r="2">
      <c r="A2" t="inlineStr">
        <is>
          <t>指标</t>
        </is>
      </c>
      <c r="B2" t="inlineStr">
        <is>
          <t>DB来源表</t>
        </is>
      </c>
      <c r="C2" t="inlineStr">
        <is>
          <t>DB字段</t>
        </is>
      </c>
      <c r="D2" t="inlineStr">
        <is>
          <t>SQL口径</t>
        </is>
      </c>
      <c r="E2" t="inlineStr">
        <is>
          <t>备注</t>
        </is>
      </c>
    </row>
    <row r="3">
      <c r="A3" t="inlineStr">
        <is>
          <t>注册人数</t>
        </is>
      </c>
      <c r="B3" t="inlineStr">
        <is>
          <t>channel_data_statistics</t>
        </is>
      </c>
      <c r="C3" t="inlineStr">
        <is>
          <t>register_number</t>
        </is>
      </c>
      <c r="D3" t="inlineStr">
        <is>
          <t>SUM(register_number) GROUP BY statistics_day</t>
        </is>
      </c>
      <c r="E3" t="inlineStr">
        <is>
          <t>当日新注册玩家数</t>
        </is>
      </c>
    </row>
    <row r="4">
      <c r="A4" t="inlineStr">
        <is>
          <t>活跃人数</t>
        </is>
      </c>
      <c r="B4" t="inlineStr">
        <is>
          <t>channel_data_statistics</t>
        </is>
      </c>
      <c r="C4" t="inlineStr">
        <is>
          <t>active_number</t>
        </is>
      </c>
      <c r="D4" t="inlineStr">
        <is>
          <t>SUM(active_number) GROUP BY statistics_day</t>
        </is>
      </c>
      <c r="E4" t="inlineStr">
        <is>
          <t>当日至少登录一次的独立玩家数</t>
        </is>
      </c>
    </row>
    <row r="5">
      <c r="A5" t="inlineStr">
        <is>
          <t>ip人数</t>
        </is>
      </c>
      <c r="B5" t="inlineStr">
        <is>
          <t>channel_data_statistics</t>
        </is>
      </c>
      <c r="C5" t="inlineStr">
        <is>
          <t>ip_number</t>
        </is>
      </c>
      <c r="D5" t="inlineStr">
        <is>
          <t>SUM(ip_number) GROUP BY statistics_day</t>
        </is>
      </c>
      <c r="E5" t="inlineStr">
        <is>
          <t>不能从logininfor推算（偏小约3600）</t>
        </is>
      </c>
    </row>
    <row r="6">
      <c r="A6" t="inlineStr">
        <is>
          <t>充值</t>
        </is>
      </c>
      <c r="B6" t="inlineStr">
        <is>
          <t>channel_data_statistics</t>
        </is>
      </c>
      <c r="C6" t="inlineStr">
        <is>
          <t>recharge_amount</t>
        </is>
      </c>
      <c r="D6" t="inlineStr">
        <is>
          <t>SUM(recharge_amount) GROUP BY statistics_day</t>
        </is>
      </c>
      <c r="E6" t="inlineStr">
        <is>
          <t>order_status=1 成功订单</t>
        </is>
      </c>
    </row>
    <row r="7">
      <c r="A7" t="inlineStr">
        <is>
          <t>提现</t>
        </is>
      </c>
      <c r="B7" t="inlineStr">
        <is>
          <t>channel_data_statistics</t>
        </is>
      </c>
      <c r="C7" t="inlineStr">
        <is>
          <t>withdraw_amount</t>
        </is>
      </c>
      <c r="D7" t="inlineStr">
        <is>
          <t>SUM(withdraw_amount) GROUP BY statistics_day</t>
        </is>
      </c>
      <c r="E7" t="inlineStr">
        <is>
          <t>order_status=3（不是1），用finish_time</t>
        </is>
      </c>
    </row>
    <row r="8">
      <c r="A8" t="inlineStr">
        <is>
          <t>充提差</t>
        </is>
      </c>
      <c r="B8" t="inlineStr">
        <is>
          <t>计算字段</t>
        </is>
      </c>
      <c r="C8" t="inlineStr">
        <is>
          <t>recharge-withdraw</t>
        </is>
      </c>
      <c r="D8" t="inlineStr">
        <is>
          <t>SUM(recharge_amount)-SUM(withdraw_amount)</t>
        </is>
      </c>
      <c r="E8" t="inlineStr">
        <is>
          <t>正=净流入，负=净流出</t>
        </is>
      </c>
    </row>
    <row r="9">
      <c r="A9" t="inlineStr">
        <is>
          <t>总投注</t>
        </is>
      </c>
      <c r="B9" t="inlineStr">
        <is>
          <t>channel_game_statistics</t>
        </is>
      </c>
      <c r="C9" t="inlineStr">
        <is>
          <t>bet_amount</t>
        </is>
      </c>
      <c r="D9" t="inlineStr">
        <is>
          <t>SUM(bet_amount) GROUP BY statistics_day</t>
        </is>
      </c>
      <c r="E9" t="inlineStr">
        <is>
          <t>不用player_statistics_day（有差异）</t>
        </is>
      </c>
    </row>
    <row r="10">
      <c r="A10" t="inlineStr">
        <is>
          <t>首充人数</t>
        </is>
      </c>
      <c r="B10" t="inlineStr">
        <is>
          <t>channel_data_statistics</t>
        </is>
      </c>
      <c r="C10" t="inlineStr">
        <is>
          <t>first_recharge_number</t>
        </is>
      </c>
      <c r="D10" t="inlineStr">
        <is>
          <t>SUM(first_recharge_number) GROUP BY statistics_day</t>
        </is>
      </c>
      <c r="E10" t="inlineStr">
        <is>
          <t>全历史首充，不用first_deposit_record</t>
        </is>
      </c>
    </row>
    <row r="11">
      <c r="A11" t="inlineStr">
        <is>
          <t>充值人数</t>
        </is>
      </c>
      <c r="B11" t="inlineStr">
        <is>
          <t>channel_data_statistics</t>
        </is>
      </c>
      <c r="C11" t="inlineStr">
        <is>
          <t>recharge_number</t>
        </is>
      </c>
      <c r="D11" t="inlineStr">
        <is>
          <t>SUM(recharge_number) GROUP BY statistics_day</t>
        </is>
      </c>
      <c r="E11" t="inlineStr">
        <is>
          <t>当日有成功充值的独立玩家数</t>
        </is>
      </c>
    </row>
    <row r="12">
      <c r="A12" t="inlineStr">
        <is>
          <t>人均充值</t>
        </is>
      </c>
      <c r="B12" t="inlineStr">
        <is>
          <t>计算字段</t>
        </is>
      </c>
      <c r="C12" t="inlineStr">
        <is>
          <t>充值/充值人数</t>
        </is>
      </c>
      <c r="D12" t="inlineStr">
        <is>
          <t>SUM(recharge_amount)/SUM(recharge_number)</t>
        </is>
      </c>
      <c r="E12" t="inlineStr">
        <is>
          <t>付费玩家平均充值深度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2026-01-31T13:01:18Z</dcterms:created>
  <dcterms:modified xsi:type="dcterms:W3CDTF">2026-01-31T13:01:18Z</dcterms:modified>
</cp:coreProperties>
</file>